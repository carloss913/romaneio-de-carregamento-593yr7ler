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skip\ROMANEIO DE CARREGAMENTO\"/>
    </mc:Choice>
  </mc:AlternateContent>
  <xr:revisionPtr revIDLastSave="0" documentId="8_{C6A1C1ED-BC72-4806-84EA-BDC77CAEE9F4}" xr6:coauthVersionLast="46" xr6:coauthVersionMax="46" xr10:uidLastSave="{00000000-0000-0000-0000-000000000000}"/>
  <bookViews>
    <workbookView xWindow="-120" yWindow="-120" windowWidth="20730" windowHeight="11160" xr2:uid="{45EF65DD-8FCD-4A33-821F-C43B81E936B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25" i="1" l="1"/>
  <c r="D1217" i="1"/>
  <c r="D1132" i="1"/>
  <c r="D1093" i="1"/>
  <c r="D1060" i="1"/>
  <c r="D1056" i="1"/>
  <c r="D983" i="1"/>
  <c r="D959" i="1"/>
  <c r="D944" i="1"/>
  <c r="D935" i="1"/>
  <c r="B924" i="1"/>
  <c r="D921" i="1"/>
  <c r="D912" i="1"/>
  <c r="D910" i="1"/>
  <c r="D906" i="1"/>
  <c r="D901" i="1"/>
  <c r="D898" i="1"/>
  <c r="D897" i="1"/>
  <c r="B896" i="1"/>
  <c r="D878" i="1"/>
  <c r="B852" i="1"/>
  <c r="B841" i="1"/>
  <c r="D804" i="1"/>
  <c r="D787" i="1"/>
  <c r="D779" i="1"/>
  <c r="D725" i="1"/>
  <c r="D682" i="1"/>
  <c r="D676" i="1"/>
  <c r="D663" i="1"/>
  <c r="D643" i="1"/>
  <c r="D642" i="1"/>
  <c r="D640" i="1"/>
  <c r="D639" i="1"/>
  <c r="D638" i="1"/>
  <c r="D637" i="1"/>
  <c r="D636" i="1"/>
  <c r="D635" i="1"/>
  <c r="D634" i="1"/>
  <c r="D633" i="1"/>
  <c r="D632" i="1"/>
  <c r="D631" i="1"/>
  <c r="B629" i="1"/>
  <c r="B625" i="1"/>
  <c r="D623" i="1"/>
  <c r="B623" i="1"/>
  <c r="D590" i="1"/>
  <c r="D539" i="1"/>
  <c r="B523" i="1"/>
  <c r="B512" i="1"/>
  <c r="D500" i="1"/>
  <c r="B489" i="1"/>
  <c r="B471" i="1"/>
  <c r="D453" i="1"/>
  <c r="D449" i="1"/>
  <c r="D446" i="1"/>
  <c r="D443" i="1"/>
  <c r="D440" i="1"/>
  <c r="D438" i="1"/>
  <c r="D436" i="1"/>
  <c r="D425" i="1"/>
  <c r="D389" i="1"/>
  <c r="D386" i="1"/>
  <c r="D384" i="1"/>
  <c r="D382" i="1"/>
  <c r="D367" i="1"/>
  <c r="D365" i="1"/>
  <c r="D362" i="1"/>
  <c r="D358" i="1"/>
  <c r="D351" i="1"/>
  <c r="D346" i="1"/>
  <c r="B314" i="1"/>
  <c r="D302" i="1"/>
  <c r="D260" i="1"/>
  <c r="D258" i="1"/>
  <c r="D256" i="1"/>
  <c r="D146" i="1"/>
  <c r="D13" i="1"/>
  <c r="D12" i="1"/>
</calcChain>
</file>

<file path=xl/sharedStrings.xml><?xml version="1.0" encoding="utf-8"?>
<sst xmlns="http://schemas.openxmlformats.org/spreadsheetml/2006/main" count="1299" uniqueCount="1250">
  <si>
    <t>ID_PRODUTO</t>
  </si>
  <si>
    <t>Peso da Caixa</t>
  </si>
  <si>
    <t>DESCRICAO</t>
  </si>
  <si>
    <t>peso da peça</t>
  </si>
  <si>
    <t xml:space="preserve">(COXINHA)ASA 1A JTA FRANGO SADIA BDJ 1KG CX 12KG </t>
  </si>
  <si>
    <t>(TULIPA BDJ) CORTES CONGELADOS DE FRANGO - MEIO DAS ASAS</t>
  </si>
  <si>
    <t xml:space="preserve">AFIAMBRADO 2,5KG - LARANJAL </t>
  </si>
  <si>
    <t>AGUA DE COCO</t>
  </si>
  <si>
    <t>AGUA DE COCO AJA COCO PASTEURIZADA DE 300ML</t>
  </si>
  <si>
    <t>APRESUNTADO ESTRELA (15KG)</t>
  </si>
  <si>
    <t xml:space="preserve">APRESUNTADO FATIADO 200G(1)(894) </t>
  </si>
  <si>
    <t>APRESUNTADO FRILANCHE 3,5KG(1)</t>
  </si>
  <si>
    <t>APRESUNTADO FRILANCHE FATIADO 200G(1)</t>
  </si>
  <si>
    <t>APRESUNTADO FRILANCHE FATIADO 200G(1)(CX3KG)</t>
  </si>
  <si>
    <t xml:space="preserve">APRESUNTADO FRILANCHE(1)(182) </t>
  </si>
  <si>
    <t>APRESUNTADO RETANG.CX 7.6KG -2PC</t>
  </si>
  <si>
    <t>APRESUNTADO RETANGULAR SADIA  (CX7KG)</t>
  </si>
  <si>
    <t>APRESUNTADO RETANGULAR SADIA CX7KG</t>
  </si>
  <si>
    <t>APRESUNTADO(1) (170)</t>
  </si>
  <si>
    <t>APRESUNTADO(1)(170)</t>
  </si>
  <si>
    <t>ASA 1JTA DRUMETTE FGO CONG PERDIGAO PT</t>
  </si>
  <si>
    <t>ASA 1JTA DRUMETTE FGO CONG SADIA PT 1KG</t>
  </si>
  <si>
    <t>ASA 2A JTA FRANGO SADIA BDJ 1KG CX 12KG</t>
  </si>
  <si>
    <t>ASA 2JTA TULIPA FGO CONG SADIA PT 1KG</t>
  </si>
  <si>
    <t>ASA BAND CONG BONASA CX 12KG</t>
  </si>
  <si>
    <t>ASA CONG</t>
  </si>
  <si>
    <t>ASA CONG BANDEJA 1KG CX 18KG</t>
  </si>
  <si>
    <t>ASA CONG FGO PCTE CX20KG</t>
  </si>
  <si>
    <t>ASA DE FRANGO CONG ENVELOPADA 20 KG</t>
  </si>
  <si>
    <t>ASA DE FRANGO CONG FRIATO BJ 12 KG</t>
  </si>
  <si>
    <t>ASA FGO. CONG. BAND. 1KG CX 12KG</t>
  </si>
  <si>
    <t>ASA INDIV.CONG  (CX18KG)</t>
  </si>
  <si>
    <t>ASA INT FGO CONG BDJ 1KG SADIA CX 12KG</t>
  </si>
  <si>
    <t>ASA POLIET CONG BONASA CX 20KG</t>
  </si>
  <si>
    <t>ASAS CG.FGO.PCT.PP.20</t>
  </si>
  <si>
    <t>AVE NATALINA CONG 20KG(1,2)</t>
  </si>
  <si>
    <t>BACON - VACUO 15KG</t>
  </si>
  <si>
    <t>BACON DEF SCOST SECO PVAR PD</t>
  </si>
  <si>
    <t xml:space="preserve">BACON EM CUBOS 2,5KG - LARANJAL </t>
  </si>
  <si>
    <t>BACON EM MANTAS - LARANJAL</t>
  </si>
  <si>
    <t>BACON ESPECIAL PALETA MANTA(1,2)</t>
  </si>
  <si>
    <t>BACON FATIADO PCT 1KG(1,2)(279)</t>
  </si>
  <si>
    <t>BACON FRACIONADO1/3- VACUO 15KG</t>
  </si>
  <si>
    <t>BACON INTEIRO SADIA CX 10KG</t>
  </si>
  <si>
    <t>BACON MANTA DEFUMADO CX</t>
  </si>
  <si>
    <t>BACON MANTA DEFUMADO CX 12KG</t>
  </si>
  <si>
    <t>BACON PALMALI CX15KG PEDAÇO</t>
  </si>
  <si>
    <t>BACON PIF PAF T AMB CX 10KG</t>
  </si>
  <si>
    <t>BAND CORACAO CONG  (CX14KG)</t>
  </si>
  <si>
    <t>BAND COXA CONG CX14KG</t>
  </si>
  <si>
    <t>BAND COXA S/COXA CONG</t>
  </si>
  <si>
    <t>BAND COXINHA DA ASA CONG</t>
  </si>
  <si>
    <t>BAND FILE DE PEITO CONG (CX14KG)</t>
  </si>
  <si>
    <t>BAND FILEZINHO (SASSAMI)</t>
  </si>
  <si>
    <t>BAND SOBRECOXA CONG</t>
  </si>
  <si>
    <t>BANHA 1KG(1)(551)</t>
  </si>
  <si>
    <t>BANHA EM POTE 450G(1)(477)</t>
  </si>
  <si>
    <t>BANHA EM RAMA SUINA CONG CX</t>
  </si>
  <si>
    <t>BATATA PALITO PIF PAF 2KG 10KG</t>
  </si>
  <si>
    <t>BATATA PALITO PIFPAF 2KG 10KG</t>
  </si>
  <si>
    <t>BATATA PALITO PIFPAF 400G 10KG</t>
  </si>
  <si>
    <t>BATATA PALITO PRE-FRITA CONGELADA - 9MM CX. 10KG</t>
  </si>
  <si>
    <t>BATATA PALITO RICO 2 KG</t>
  </si>
  <si>
    <t>BATATA PALITO RICO 2,5 KG (CX12,5KG)</t>
  </si>
  <si>
    <t>BATATA PALITO RICO 400 G (CX12KG)</t>
  </si>
  <si>
    <t>BAV14 BACON DEF S/COST VAC PERDIGAO CX 12KG</t>
  </si>
  <si>
    <t>BAV412 ACON DEF S/COST VAC PERD CX 12KG</t>
  </si>
  <si>
    <t>BAV413 BACON DEF SCOST VAC PERD CX 13KG</t>
  </si>
  <si>
    <t>BAV414 BACON DEF S/COST VAC PERD CX 14KG</t>
  </si>
  <si>
    <t>BEB LACT UHT CHOCOLATE FRIMINHO 3X200ML(1,2)(52)</t>
  </si>
  <si>
    <t>BISTECA CONG SUI C O 5KG FINA(1,2)</t>
  </si>
  <si>
    <t>BISTECA CONG SUI C O 5KG(1,2,3)</t>
  </si>
  <si>
    <t>BISTECA INSTITUCIONAL (PEQ) ITF CX 3,5KG</t>
  </si>
  <si>
    <t>C.M.S. CONG</t>
  </si>
  <si>
    <t>CARNE CONG DE SUINO CO - PERNIL</t>
  </si>
  <si>
    <t>CARNE CONG SUI C O BISTECA(1,2)(321)</t>
  </si>
  <si>
    <t>CARNE FGO EMP/PRE-FRI/CONG CX 4,5 SADIA</t>
  </si>
  <si>
    <t>CARNE FGO EMP/PRE-FRI/CONG SADIA</t>
  </si>
  <si>
    <t>ESPETINHO FRANGO COM BACON (10X1)</t>
  </si>
  <si>
    <t>CARRE SUI CONG SADIA IWP CX 20KG</t>
  </si>
  <si>
    <t>CHARQUE 500GR</t>
  </si>
  <si>
    <t xml:space="preserve">CHICKEN EMPANADO 300G(1)(969) </t>
  </si>
  <si>
    <t>CHICKEN FRANGO CONG 300G PD CX 4,5KG</t>
  </si>
  <si>
    <t>CHICKEN FRANGO TRAD CONG PD 3KG</t>
  </si>
  <si>
    <t>CLA015 CHESTER LANCHE 3,75 CX 15KG</t>
  </si>
  <si>
    <t>CORACAO BAND CONG BONASA CX 12KG</t>
  </si>
  <si>
    <t>CORACAO BANDEJA 1KG CX 12KG</t>
  </si>
  <si>
    <t>CORACAO CG.GAL.PCTS.PP.20</t>
  </si>
  <si>
    <t>CORACAO CONG (CX 19KG)</t>
  </si>
  <si>
    <t>CORACAO CONG (CX18KG)</t>
  </si>
  <si>
    <t>CORACAO CONG BANDEJA 1KG CX 18KG</t>
  </si>
  <si>
    <t>CORACAO CONG FRIATO POLIET 20 KG</t>
  </si>
  <si>
    <t>CORACAO CONG. ALMOF. GUIBON 18 KG</t>
  </si>
  <si>
    <t>CORACAO DE FRANGO CONG FRIATO BJ 12 KG</t>
  </si>
  <si>
    <t>COSTELA A PASSARINHO 0,8KG CX 9,6KG</t>
  </si>
  <si>
    <t>COSTELA SUI COSSO CONG SADIA 10KG</t>
  </si>
  <si>
    <t>COXA BAND CONG BONASA CX 12KG</t>
  </si>
  <si>
    <t>COXA C/OP FGO CONG BDJ 1KG SADIA CX. 12 KG</t>
  </si>
  <si>
    <t>COXA C/OP FGO TEMP CONG ASSA FACIL SD (CX6,40)</t>
  </si>
  <si>
    <t>COXA E SOBRECOXA BDJ 1KG CX 12KG</t>
  </si>
  <si>
    <t>COXA E SOBRECOXA S/ OSSO BAND CONG BONASA 12KG</t>
  </si>
  <si>
    <t>COXA INDIVIDUAL</t>
  </si>
  <si>
    <t>COXA S/ COXA CONG. IND. GUIBON CX PP 18 KG.</t>
  </si>
  <si>
    <t>COXA S/ COXA CONG. IND. LEG QUARTER GUIBON CX PP 18 KG.</t>
  </si>
  <si>
    <t>COXA S/ COXA FGO CONG ENVELOP CX20KG</t>
  </si>
  <si>
    <t>COXA S/COXA CONG. GUIBON 18KG</t>
  </si>
  <si>
    <t>COXA S/COXA INDIVIDUAL</t>
  </si>
  <si>
    <t>COXA/SOB CONG FRIATO ENVELOPADA 20 KG</t>
  </si>
  <si>
    <t>COXA/SOB FRANGO CONG FRIATO BJ 12 KG</t>
  </si>
  <si>
    <t>COXA/SOBRECOXA BAND CONG BONASA CX 12KG</t>
  </si>
  <si>
    <t>COXA/SOBRECOXA INDIV.CONG  (CX18KG)</t>
  </si>
  <si>
    <t>COXA/SOBRECOXA INDIVIDUAL CONG BONASA 18KG (F</t>
  </si>
  <si>
    <t>COXA/SOBRECOXA INDIVIDUAL CONG BONASA 18KG (F501)</t>
  </si>
  <si>
    <t>COXA/SOBRECOXA POLIET CONG BONASA CX 20KG</t>
  </si>
  <si>
    <t>COXA/SOBRECOXA TEMP CONG MARINADOS BONASA CX 12KG</t>
  </si>
  <si>
    <t>COXAS BDJ 1KG CX 12KG</t>
  </si>
  <si>
    <t>COXAS E SOBRECOXAS CG GAL.PCT.PP.20</t>
  </si>
  <si>
    <t>COXAS IQF PCT 700 G CX 11,2 KG</t>
  </si>
  <si>
    <t>COXINHA ASA CONG BANDEJA 1KG CX 18KG</t>
  </si>
  <si>
    <t>COXINHA ASA CONG. IQF 700G CX 11,2KG GO</t>
  </si>
  <si>
    <t>COXINHA ASA TEMP. HOT CONG PCT 1KG CX 20KG</t>
  </si>
  <si>
    <t>COXINHA DA ASA BAND 1KG CX 12KG</t>
  </si>
  <si>
    <t>COXINHA DA ASA BAND CONG BONASA CX 12KG</t>
  </si>
  <si>
    <t>COXINHA DA ASA CONG (CX18KG)</t>
  </si>
  <si>
    <t>COXINHA DA ASA CONG FRIATO ENVEL. 20 KG</t>
  </si>
  <si>
    <t>COXINHA DA ASA INDIVIDUAL (CX20KG)</t>
  </si>
  <si>
    <t>COXINHA DA ASA INTERFOLHADO CONG BONASA 20KG</t>
  </si>
  <si>
    <t>COXINHA DA ASA POLIET CONG BONASA CX 20KG</t>
  </si>
  <si>
    <t>COXINHA DA ASA POLIET CONG TEMP MARINADOS BONASA CX 12KG</t>
  </si>
  <si>
    <t>COXINHA DAS ASAS (DRUMETTE) IND. CONG. GUIBON 18 KG</t>
  </si>
  <si>
    <t>CREME DE LEITE UHT 200G(1)</t>
  </si>
  <si>
    <t>CRM025 CARRE SUI CONG PERD CX 25KG</t>
  </si>
  <si>
    <t>CXB012 COXA C/OP FGO BDJ NOEGGS CX 12KG</t>
  </si>
  <si>
    <t>DOCE DE LEITE TRADICIONAL 400G(1)</t>
  </si>
  <si>
    <t>ESPETINHO FRANGO C BACON - PCTE5UND</t>
  </si>
  <si>
    <t>FGO A PASSARINHO TEMP IQF 0,7KG CX11,2KG</t>
  </si>
  <si>
    <t>FIAMBRE ESTRELANCHE</t>
  </si>
  <si>
    <t>FIGADO CG.FGO.PCT.PP.20</t>
  </si>
  <si>
    <t>FIGADO DE FRANGO PCT 500G CX 16KG GO</t>
  </si>
  <si>
    <t>FILE COXA C/PELE  CONG</t>
  </si>
  <si>
    <t>FILE DE PEITO BAND CONG BONASA CX 12KG</t>
  </si>
  <si>
    <t>FILE DE PEITO BDJ 1KG CX 12KG</t>
  </si>
  <si>
    <t>FILE DE PEITO CG.FGO.IND.PP.18</t>
  </si>
  <si>
    <t>FILE DE PEITO CONG  (CX18KG)</t>
  </si>
  <si>
    <t>FILE DE PEITO FRANGO IQF 700G CX11,2KG G</t>
  </si>
  <si>
    <t>FILE DE PEITO INDIV CONG (CX18KG)</t>
  </si>
  <si>
    <t>FILE DE PEITO INDIVIDUAL (20KG)</t>
  </si>
  <si>
    <t>FILE DE PEITO INDIVIDUAL CONG BONASA 18KG (F5</t>
  </si>
  <si>
    <t>FILE DE PEITO INDIVIDUAL CONG BONASA 18KG (F501)</t>
  </si>
  <si>
    <t>FILE DE PEITO POLIET CONG BONASA CX 20KG</t>
  </si>
  <si>
    <t xml:space="preserve">FILE DE TILAPIA GRANEL PISCES - CX 15KG </t>
  </si>
  <si>
    <t xml:space="preserve">FILE DE TILAPIA PISCES 800G - CX 16KG </t>
  </si>
  <si>
    <t>FILE PEITO CONG ENVELOP CX 20KG</t>
  </si>
  <si>
    <t>FILE PEITO DESFIADO TEMP PCT 500G CX15KG</t>
  </si>
  <si>
    <t>FILE PEITO FRANGO CUBOS 0,4KG CX12KG</t>
  </si>
  <si>
    <t>FILE PEITO S/OP FGO CONG BDJ 1KG SADIA</t>
  </si>
  <si>
    <t>FILEZINHO DE FRANGO EMPANADO 300G(1)</t>
  </si>
  <si>
    <t>FILEZINHO DE PEITO BDJ 1KG CX 12KG</t>
  </si>
  <si>
    <t>FILEZINHO FGO C/TEND EGLESS PERDIGAO CX. 16KG (PCT1KG)</t>
  </si>
  <si>
    <t>FILEZINHO FGO CONG BDJ 1KG SADIA</t>
  </si>
  <si>
    <t>FILEZINHO PEITO CONG. IQF 700G CX 11,2KG</t>
  </si>
  <si>
    <t>FILEZINHO PEITO FRANGO CONG SADIA PT 1K CX . 8KG</t>
  </si>
  <si>
    <t>FILEZINHO SUINO CONG. MI CX 20KG</t>
  </si>
  <si>
    <t>FPB012 FILEZINHO FGO BDJ 1KG CX 12KG</t>
  </si>
  <si>
    <t>FPI212 FILEZINHO FGO C/TEND PD 12KG FS</t>
  </si>
  <si>
    <t>FRANGO A PASSARINHO 1 KG CX 16KG</t>
  </si>
  <si>
    <t>FRANGO A PASSARINHO CONG SADIA PT 1KG</t>
  </si>
  <si>
    <t>FRANGO CG C/ MIUDOS - PCT.PP.20</t>
  </si>
  <si>
    <t>FRANGO CONG</t>
  </si>
  <si>
    <t>FRANGO CONG C/MIUDOS SADIA CX 18KG</t>
  </si>
  <si>
    <t>FRANGO CONG CX 20KG</t>
  </si>
  <si>
    <t>FRANGO CONG FRIATO 20 KG</t>
  </si>
  <si>
    <t>FRANGO CONGELADO 20KG</t>
  </si>
  <si>
    <t>FRANGO FESTIVO CELEBRAR CONG TEMP CX 20KG</t>
  </si>
  <si>
    <t>FRANGO GUIBON CONG. INT. CX. PP. 18KG</t>
  </si>
  <si>
    <t>FRANGO GUIBON CONG. INT. CX. PP.18KG - N</t>
  </si>
  <si>
    <t>FRANGO PASSARINHO TEMP CONG MARINADOS BONASA - 12KG</t>
  </si>
  <si>
    <t>FRANGO POLIET CONG BONASA 8 PCT CX 20KG</t>
  </si>
  <si>
    <t>FRANGO POLIET CONG BONASA 9 PCT CX 20KG</t>
  </si>
  <si>
    <t>FRANGO POLIET CONG BONASA CX 20KG</t>
  </si>
  <si>
    <t>GALINHA CG.C/MIUDOS PCT.PP.22</t>
  </si>
  <si>
    <t>GALO CONGELADO 20KG</t>
  </si>
  <si>
    <t>HAMBURGUER 56GR CX 2.016 KG</t>
  </si>
  <si>
    <t>HAMBURGUER BOVINO 672G(1)(221)</t>
  </si>
  <si>
    <t>HAMBURGUER DE CARNE SUINA E CARNE BOVINA 2,016KG(1)</t>
  </si>
  <si>
    <t>HAMBURGUER DE CARNE SUINA E CARNE BOVINA 672G(1)</t>
  </si>
  <si>
    <t>HOT POCKET SADIA X FRANGO 145G CX 2,61KG</t>
  </si>
  <si>
    <t>HOT POCKET X BACON PARA MICROONDAS (CX2,61KG)</t>
  </si>
  <si>
    <t>HOT POCKET X BURGUER PARA MICROONDAS (CX2,61KG)</t>
  </si>
  <si>
    <t>HOT POCKET X PICANHA PARA MICROONDAS (CX2,61KG)</t>
  </si>
  <si>
    <t>IOG 4 SALADA DE FRUTA 2 MORANGO BDJ 540G(1,3)</t>
  </si>
  <si>
    <t>IOG BICAMADAS MORANGO CP 165G(1,3)</t>
  </si>
  <si>
    <t>IOG COCO GRF 170G(1,2)</t>
  </si>
  <si>
    <t>IOG FRUTAS VERMELHAS GRF 170G(1,2)</t>
  </si>
  <si>
    <t>IOG FRUTAS VERMELHAS GRF 850G(1,3)</t>
  </si>
  <si>
    <t>IOG GREGO COM CALDA DE FRUTAS VERMELHAS CP 100G(1,2)</t>
  </si>
  <si>
    <t>IOG MIX DE FRUTAS BDJ 540G(1,3)</t>
  </si>
  <si>
    <t>IOG MORANGO BDJ 540G(1,3)</t>
  </si>
  <si>
    <t>IOG MORANGO GRF 170G(1,3)</t>
  </si>
  <si>
    <t>IOG MORANGO GRF 850G(1,3)</t>
  </si>
  <si>
    <t>IOG ZERO AMEIXA GRF 850G(1,3)</t>
  </si>
  <si>
    <t>IOG ZERO MORANGO GRF 850G(1,3)</t>
  </si>
  <si>
    <t>IOGURTE 1 LT MORANGO</t>
  </si>
  <si>
    <t>IOGURTE 120GR (MORANGO)</t>
  </si>
  <si>
    <t>IOGURTE ABACAXI 180GR</t>
  </si>
  <si>
    <t>IOGURTE ABACAXI 180GR (FD 25UNID)</t>
  </si>
  <si>
    <t>IOGURTE BANANA 180GR</t>
  </si>
  <si>
    <t>IOGURTE BLISSFUL 900GR MORANGO</t>
  </si>
  <si>
    <t>IOGURTE COCO 120GR</t>
  </si>
  <si>
    <t>IOGURTE COCO 180GR</t>
  </si>
  <si>
    <t>IOGURTE COM POLPA DE FRUTA AMEIXA 1 LITRO</t>
  </si>
  <si>
    <t>IOGURTE COM POLPA DE FRUTA MORANGO 1 LITRO</t>
  </si>
  <si>
    <t>IOGURTE COM POLPA DE FRUTA SABOR BANANA 1 LITRO</t>
  </si>
  <si>
    <t>IOGURTE DE POLPA DE FRUTA ABACAXI 1 LITRO</t>
  </si>
  <si>
    <t>IOGURTE GREGO TRADICIONAL(1,3)</t>
  </si>
  <si>
    <t>IOGURTE LIQ BLISSFUL 1L COCO</t>
  </si>
  <si>
    <t>IOGURTE MORANGO 180GR</t>
  </si>
  <si>
    <t>LANCHE BOM GOSTO CX 7KG - 2 PCTE 3,5 KG</t>
  </si>
  <si>
    <t>LANCHE FLIP RETANGULAR CX 5,0KG -2PC</t>
  </si>
  <si>
    <t>LASANHA 4 QUEIJOS PIF PAF 600G CX 6KG</t>
  </si>
  <si>
    <t>LASANHA A BOLONHESA 600G CX3,60KG</t>
  </si>
  <si>
    <t>LASANHA A BOLONHESA PIF PAF 600G CX 6KG</t>
  </si>
  <si>
    <t>LASANHA BOLONHESA 600G PERDIGAO</t>
  </si>
  <si>
    <t>LASANHA BOLONHESA SADIA 600G CX 3,6KG</t>
  </si>
  <si>
    <t>LASANHA BOLONHESA SADIA 650G CX 3,9KG</t>
  </si>
  <si>
    <t>LASANHA DE CALABRESA PIF PAF 600G CX 6KG</t>
  </si>
  <si>
    <t>LASANHA DE CALABRESA SADIA CX 3,6KG</t>
  </si>
  <si>
    <t>LASANHA DE CALABRESA SADIA CX 3,9KG</t>
  </si>
  <si>
    <t>LASANHA DE FRANGO COM BACON CX 3,6KG PD</t>
  </si>
  <si>
    <t>LASANHA DE FRANGO COM BACON CX3,6KG</t>
  </si>
  <si>
    <t>LASANHA DE FRANGO PIF PAF 600G CX 6KG</t>
  </si>
  <si>
    <t>LASANHA FRANGO AO MOLHO SUGO 650G SADIA</t>
  </si>
  <si>
    <t>LASANHA MIX 600G 6B / 2F / 2C - 6,0 KG</t>
  </si>
  <si>
    <t>LASANHA PRES E QJO AO SUGO 0,6KG CX3,6KG</t>
  </si>
  <si>
    <t>LASANHA PRES E QJO AO SUGO 650G CX 3,9</t>
  </si>
  <si>
    <t>LASANHA TIPO CALABRESA 600G CX3,6KG</t>
  </si>
  <si>
    <t>LCC420 LING CHUR MISTA PT5KG PERD 20KG</t>
  </si>
  <si>
    <t>LCSP LING CARNE SUINA CONG PERDIGA 20KG</t>
  </si>
  <si>
    <t>LEITE CONDENSADO TRAD(1) 0,395GR</t>
  </si>
  <si>
    <t>LFF420 LING FRANGO NABRASA 4PT CX 20KG</t>
  </si>
  <si>
    <t>LING MISTA COZ DEF SAD CX 5,040KG</t>
  </si>
  <si>
    <t>LING TIPO CALAB SADIA 4PT CX 20KG</t>
  </si>
  <si>
    <t>LING TIPO CALABRESA COZ FRIMESINHA(1)(239)</t>
  </si>
  <si>
    <t>LING. CALABRESA SADIA 4PC CX. 20KG</t>
  </si>
  <si>
    <t>LINGUICA CALAB CUR PERD PCT 2,5KG CX. 10KG</t>
  </si>
  <si>
    <t>LINGUICA CALAB DEF FINA PCT 500G CX 5KG</t>
  </si>
  <si>
    <t>LINGUICA CALABRESA - FINA (CX15KG PCT2,5KG) (TROPEIRA)</t>
  </si>
  <si>
    <t>LINGUICA CALABRESA 4X2,5 CX 10KG</t>
  </si>
  <si>
    <t xml:space="preserve">LINGUICA CALABRESA DEFUMADA (2,5KG) - LARANJAL </t>
  </si>
  <si>
    <t>LINGUICA CALABRESA FRESCAL PCT 1KG(1)(984) CX8KG</t>
  </si>
  <si>
    <t>LINGUICA CALABRINA BOM GOSTO 12,5KG - (5 X 2,5KG)</t>
  </si>
  <si>
    <t>LINGUICA CARNE SUINA CHURR 1KG CX12KG</t>
  </si>
  <si>
    <t>LINGUICA CARNE SUINA P CHURR CONG BONASA PCT 5 KG CX 20 KG</t>
  </si>
  <si>
    <t>LINGUICA CHURRASCO FRANGO CONG PCT 1KG CX 20KG</t>
  </si>
  <si>
    <t>LINGUICA CONG CARNE FRANGO P/ CHURR. BONASA CX 20KG</t>
  </si>
  <si>
    <t>LINGUICA DE CARNE SUINA CONGELADA PCT 5KG(1)(238)</t>
  </si>
  <si>
    <t>LINGUICA DE FRANGO 2KG CX 12 KG</t>
  </si>
  <si>
    <t>LINGUICA DE FRANGO CHURRASCO CONG. PCT 1KG BONASA CX 15KG</t>
  </si>
  <si>
    <t>LINGUICA DE FRANGO FINA FRI 1KG CX 20 KG</t>
  </si>
  <si>
    <t>LINGUICA DE FRANGO GROSSA FRIATO 20KG</t>
  </si>
  <si>
    <t>LINGUICA DE FRANGO SADIA CX 15KG</t>
  </si>
  <si>
    <t>LINGUICA DE FRANGO SADIA PCT 800G  (CX9,6KG)</t>
  </si>
  <si>
    <t>LINGUICA DE PERNIL SUINO CX20KG</t>
  </si>
  <si>
    <t>LINGUICA FRANGO CONG CHURRASCO PCT 5 KG</t>
  </si>
  <si>
    <t>LINGUICA FRANGO CONG FINA PCT 2,5KG</t>
  </si>
  <si>
    <t>LINGUICA FRANGO CONG PCT 800G(1)(645)</t>
  </si>
  <si>
    <t>LINGUICA FRANGO EM GOMOS CONG PCT 1KG CX 20KG</t>
  </si>
  <si>
    <t>LINGUICA FRANGO FINA CONG PCT 1KG(1)(758)</t>
  </si>
  <si>
    <t>LINGUICA FRANGO FINA CONG PCT 1KG(1)(991)</t>
  </si>
  <si>
    <t>LINGUICA GUANABARA FINA (CX5KG)</t>
  </si>
  <si>
    <t>LINGUICA GUANABARA FINA SADIA</t>
  </si>
  <si>
    <t>LINGUICA MINEI APIMENTADA 0,8KG CX 6,4KG</t>
  </si>
  <si>
    <t>LINGUICA MINEIRA 0,8KG CX 4.8 KG</t>
  </si>
  <si>
    <t>LINGUICA MINEIRA 0,8KG CX 6,4 KG</t>
  </si>
  <si>
    <t>LINGUICA MISTA CONG CHURRASCO PCT 5KG</t>
  </si>
  <si>
    <t>LINGUICA MISTA COZ DEF GRANEL SADIA 20KG</t>
  </si>
  <si>
    <t>LINGUICA MISTA COZ DEF PD 240G</t>
  </si>
  <si>
    <t>LINGUICA MISTA COZIDA N(1)(386) (CALABRESA)</t>
  </si>
  <si>
    <t>LINGUICA MISTA DEF PERD PCT 2,5KG (TROPEIRA)</t>
  </si>
  <si>
    <t>LINGUICA PAIO (450GRS) - LARANJAL - (CX10,35KG)</t>
  </si>
  <si>
    <t>LINGUICA PERNIL SUI PCT 1KG(1)</t>
  </si>
  <si>
    <t>LINGUICA SUINA APIMENTADA</t>
  </si>
  <si>
    <t>LINGUICA SUINA APIMENTADA (05KG)</t>
  </si>
  <si>
    <t>LINGUICA SUINA CHURRASCO CONG BONASA PCT 1KG CX 15KG</t>
  </si>
  <si>
    <t>LINGUICA SUINA SADIA PT CX 15KG</t>
  </si>
  <si>
    <t>LINGUICA TIPO CALAB PERD PCT 4,5KG CX. 18KG</t>
  </si>
  <si>
    <t>LINGUICA TIPO CALABRESA 2,5 KG</t>
  </si>
  <si>
    <t>LINGUICA TIPO CALABRESA 3KG CX 6KG</t>
  </si>
  <si>
    <t>LINGUICA TIPO CALABRESA COZ DEF PCT 3KG(1)</t>
  </si>
  <si>
    <t>LINGUICA TIPO CALABRESA COZIDA FRIMESINHA 500G(1)(239)</t>
  </si>
  <si>
    <t>LINGUICA TIPO CALABRESA FINA 2,5KGCX10KG</t>
  </si>
  <si>
    <t>LINGUICA TIPO CALABRESA SADIA PT 2,5KG</t>
  </si>
  <si>
    <t>LINGUICA TIPO CUIABANA DE FRANGO (PCT600G)</t>
  </si>
  <si>
    <t>LINGUICA TIPO TOSCANA CONGELADA (PCT5KG CX15KG)</t>
  </si>
  <si>
    <t xml:space="preserve">LINGUICA TOSCANA (3KG CX9KG) - LARANJAL </t>
  </si>
  <si>
    <t>LINGUICA TOSCANA 600G(1)</t>
  </si>
  <si>
    <t>LINGUICA TOSCANA CX 4X4,5KG</t>
  </si>
  <si>
    <t>LINGUICA TOSCANA CX 4X4,5KG CONG</t>
  </si>
  <si>
    <t>LINGUICA TOSCANA CX.9KG PCT600G. (15UND)</t>
  </si>
  <si>
    <t xml:space="preserve">LINGUICA TOSCANA FINA 1KG - LARANJAL </t>
  </si>
  <si>
    <t>LINGUICA TOSCANA FINA 3KG - LARANJAL</t>
  </si>
  <si>
    <t>LINGUICA TOSCANA NABRASA PERDIG</t>
  </si>
  <si>
    <t>LINGUICA TOSCANA PALMALI 3KG CG. (CX12KG)</t>
  </si>
  <si>
    <t>LINGUICA TOSCANA PCT 1KG(1)</t>
  </si>
  <si>
    <t>LINGUICA TOSCANA(1)(187)</t>
  </si>
  <si>
    <t>LIP121 LINGUICA PERNIL NABR PT1KG CX 12K</t>
  </si>
  <si>
    <t>LOMBO CANADENSE (CX12KG PÇ 0,800GR)</t>
  </si>
  <si>
    <t>LOMBO SUI SOSSO CONG SADIA 10KG</t>
  </si>
  <si>
    <t>MANTEIGA EXTRA C SAL 200 G(1,2)(22)</t>
  </si>
  <si>
    <t>MANTEIGA EXTRA COM SAL 500G(1,2)</t>
  </si>
  <si>
    <t>MANTEIGA EXTRA S SAL 200 G(1,2)(85)</t>
  </si>
  <si>
    <t>MANTEIGA SERT EM POTE 12X200G</t>
  </si>
  <si>
    <t>MARGARINA DELINE COM SAL - 250G</t>
  </si>
  <si>
    <t>MARGARINA DELINE COM SAL - 500G</t>
  </si>
  <si>
    <t>MBB008 MORTADELA OURO PERDIGÃO CX 8KG</t>
  </si>
  <si>
    <t>MBV008 MORTADELA OURO PERDIGAO CX 8KG</t>
  </si>
  <si>
    <t>MEIA CARCACA CONG SUI C O C P(1,2)</t>
  </si>
  <si>
    <t>MEIO DA ASA BAND CONG BONASA CX 12KG</t>
  </si>
  <si>
    <t>MEIO DA ASA TEMP CONG MARINADOS BONASA - 12KG</t>
  </si>
  <si>
    <t>MEIO DA ASAS CONG. ALMOFADA GUIBON 18 KG</t>
  </si>
  <si>
    <t>MERLUZA FILE 1KG 10KG PESCANOBRE</t>
  </si>
  <si>
    <t>MOELA BAND CONG BONASA CX 12KG</t>
  </si>
  <si>
    <t>MOELA CONG CONG BANDEJA 1KG CX 18KG</t>
  </si>
  <si>
    <t>MOELA FGO. BANDEJA 1KG CX 12KG</t>
  </si>
  <si>
    <t>MORTADELA 1 KG (CX12KG)</t>
  </si>
  <si>
    <t>MORTADELA BOLOGNA (0,75KG) - LARANJAL</t>
  </si>
  <si>
    <t>MORTADELA BOLOGNA - LARANJAL</t>
  </si>
  <si>
    <t>MORTADELA BOLOGNELLA PERDIGAO CX 10,5KG</t>
  </si>
  <si>
    <t>MORTADELA BONELLA CX 7,10 KG T A</t>
  </si>
  <si>
    <t>MORTADELA C TOUC CUBOS 1KG(1)</t>
  </si>
  <si>
    <t>MORTADELA C TOUC CUBOS 500G(1)(717)</t>
  </si>
  <si>
    <t>MORTADELA C TOUC CUBOS APROX 3KG(1)(467) CX. 12KG</t>
  </si>
  <si>
    <t>MORTADELA C TOUC CUBOS RESF APROX 1,9KG(1)(691)</t>
  </si>
  <si>
    <t>MORTADELA DE AVE PCT 3KG CX PAP 12KG</t>
  </si>
  <si>
    <t>MORTADELA DE AVES 500G CX 15KG</t>
  </si>
  <si>
    <t>MORTADELA DE FRANGO - MINI (CX15KG)</t>
  </si>
  <si>
    <t>MORTADELA DE FRANGO 2 KGS (CX12KG)</t>
  </si>
  <si>
    <t>MORTADELA DE FRANGO APROX 3KG(1)(464) CX. 12KG</t>
  </si>
  <si>
    <t>MORTADELA DE FRANGO CX 14KG 4PC</t>
  </si>
  <si>
    <t>MORTADELA DE FRANGO FRIATO 1X4 14 KG</t>
  </si>
  <si>
    <t>MORTADELA DE FRANGO MINI 400G CX9,2KG</t>
  </si>
  <si>
    <t>MORTADELA DEFUMADA SADIA (BOLOGNA)</t>
  </si>
  <si>
    <t>MORTADELA ESTRELA 3,5 KGS CX17,5KG</t>
  </si>
  <si>
    <t>MORTADELA ESTRELINHA 400G CX. 12 KG</t>
  </si>
  <si>
    <t>MORTADELA FGO PERD 4PC CX 14KG</t>
  </si>
  <si>
    <t>MORTADELA FRANGO SADIA 4PC CX 13KG</t>
  </si>
  <si>
    <t>MORTADELA MINE 1 KG FRIATO CX 12 KG</t>
  </si>
  <si>
    <t>MORTADELA MISTA PERDIGAO CX 6KG</t>
  </si>
  <si>
    <t>MORTADELA MISTA SADIA 0,400G CX6KG</t>
  </si>
  <si>
    <t>MORTADELA NALO FRIATO 1X4 14 KG</t>
  </si>
  <si>
    <t>MORTADELA NOVA - MINI (CAIXA 15KG)</t>
  </si>
  <si>
    <t>MORTADELA NOVA 3KG (CX18KG)</t>
  </si>
  <si>
    <t>MORTADELA OURO ATM FATIADA PT 200G PD CX. 4KG</t>
  </si>
  <si>
    <t>MORTADELA OURO PERDIGAO CX 8KG</t>
  </si>
  <si>
    <t>MORTADELA PERDIGAO 4 PC CX 14KG</t>
  </si>
  <si>
    <t xml:space="preserve">MORTADELA TIPO BOLOGNA FAT 200G (1)(852) </t>
  </si>
  <si>
    <t>MORTADELA TIPO BOLOGNA MINI(1)</t>
  </si>
  <si>
    <t>MORTADELA TIPO BOLOGNA(1)(204)</t>
  </si>
  <si>
    <t>MORTADELA TRADICAO CX 14KG 4PC</t>
  </si>
  <si>
    <t>MORTADELA TRADICAO MINI 400G CX9,2KG</t>
  </si>
  <si>
    <t>MORTADELA TUB SADIA 1KG CX6KG</t>
  </si>
  <si>
    <t>MORTADELA TUB SADIA CX13 KG</t>
  </si>
  <si>
    <t>MORTADELA TUBULAR - MINI (CX10KG)</t>
  </si>
  <si>
    <t xml:space="preserve">MORTADELA TUBULAR 3KG - LARANJAL </t>
  </si>
  <si>
    <t>MORTADELA TUBULAR BONASA CX 18KG</t>
  </si>
  <si>
    <t>MUSSARELA (4 KG/BARRA)</t>
  </si>
  <si>
    <t>MUSSARELA FAT 150 GR</t>
  </si>
  <si>
    <t>MUSSARELA FAT 500 GR</t>
  </si>
  <si>
    <t>MUSSARELA PCA</t>
  </si>
  <si>
    <t>NATA 300 G(1)</t>
  </si>
  <si>
    <t>ORELHA C/MASCARA SUINO CONG CX</t>
  </si>
  <si>
    <t>PANCETA BARRIGA CONG SUI S O C P(1,2)</t>
  </si>
  <si>
    <t>PAO DE ALHO LORIELLA CREMOSO 400GR</t>
  </si>
  <si>
    <t>PAO DE QUEIJO PREMIUM 300G CX 3KG</t>
  </si>
  <si>
    <t>PAO DE QUEIJO TRAD CONG AVIVAR 300G CX 9KG</t>
  </si>
  <si>
    <t>PAO DE QUEIJO TRADICIONAL RS 400GR CX8KG</t>
  </si>
  <si>
    <t>PEB012 PEITO S/OP FGO FILE CROSS PERD BD</t>
  </si>
  <si>
    <t>PEITO C OSSO BAND CONG BONASA CX 12KG</t>
  </si>
  <si>
    <t>PEITO C OSSO POLIET CONG BONASA CX 20KG</t>
  </si>
  <si>
    <t>PEITO C/ OSSO CONG. IND. GUIBON CX PP 18 KG.</t>
  </si>
  <si>
    <t>PEITO DE FRANGO CONG FRIATO BJ 12 KG</t>
  </si>
  <si>
    <t>PEITO DE FRANGO CONG FRIATO BJ 12KG</t>
  </si>
  <si>
    <t>PEITO FGO CONG ENVELOP CX20KG</t>
  </si>
  <si>
    <t>PEITO INDIV.CONG  (CX18KG)</t>
  </si>
  <si>
    <t>PEITO INDIVIDUAL (RICO) (CX 20KG)</t>
  </si>
  <si>
    <t>PEITO INDIVIDUAL CONG BONASA 18KG</t>
  </si>
  <si>
    <t>PEITO INDIVIDUAL CONG BONASA 18KG (F501)</t>
  </si>
  <si>
    <t>PEITO SEM OSSO SEM PELE CONG. IND.GUIBON CX PP18KG</t>
  </si>
  <si>
    <t>PER314 PERU TEMP PERD 3-3,99KG CX 14KG</t>
  </si>
  <si>
    <t>PERTENCES P/ CANJA DE FRANGO CONG POLIET. BOM GOSTO 18 KG</t>
  </si>
  <si>
    <t>PERTENCES RESF SUINO P/FEIJOADA BONASA CX 12KG-15UN DE 800GR</t>
  </si>
  <si>
    <t>PETIT SUISSE MORANGO BDJ 360G(1,3)</t>
  </si>
  <si>
    <t>PFM015 PEITO S/OPF MET (G) ITF PD 15KG</t>
  </si>
  <si>
    <t>PICANHA SUINA TEMP. GRILL CX 11KG</t>
  </si>
  <si>
    <t>PIZZA 4 QUEIJOS CART 460G SADIA CX 5,52</t>
  </si>
  <si>
    <t>PIZZA CALAB+FGO CAT+1/2CALAB+1/2MUSSAR (CX5,52KG)</t>
  </si>
  <si>
    <t>PIZZA CALABRESA 12 UN CX 5,520 KG CN</t>
  </si>
  <si>
    <t>PIZZA CALABRESA/MUSSARELA SADI CX 5,52KG</t>
  </si>
  <si>
    <t>PIZZA CONG. SADI LOMBO DEF.REQ. E MUSSAR (CX5,52KG)</t>
  </si>
  <si>
    <t>PIZZA FGO REQUEIJAO 12UN CX 5,520 KG CN</t>
  </si>
  <si>
    <t>PIZZA LOMBO C/REQUEIJAO 5,52KG 12UN</t>
  </si>
  <si>
    <t>PIZZA MIX 3F 3C 3PT 3P CX 5,520 KG</t>
  </si>
  <si>
    <t>PIZZA PORTUGUESA 5,52KG 12UN</t>
  </si>
  <si>
    <t>PIZZA PRESUNTO MUSSARELA CX 5,520 KG CN</t>
  </si>
  <si>
    <t>PIZZAS MISTA CAIXA COM 3 SABORES SADIA CX5,52KG</t>
  </si>
  <si>
    <t>POLENTA PALITO TRAD. 400G CX 10KG</t>
  </si>
  <si>
    <t>PONTA DE COSTELA SALGADO 10KG SUINO</t>
  </si>
  <si>
    <t>PRESUNTO 2 PECAS CX 6,60KG (T)</t>
  </si>
  <si>
    <t>PRESUNTO BOM GOSTO 6.4KG - (2 X 3.2 KG)</t>
  </si>
  <si>
    <t>PRESUNTO COZIDO</t>
  </si>
  <si>
    <t>PRESUNTO COZIDO FATIADO 200G(1)(896)</t>
  </si>
  <si>
    <t xml:space="preserve">PRESUNTO COZIDO OVAL S CAPA GORDURA(1)(215) </t>
  </si>
  <si>
    <t>PRESUNTO COZIDO OVAL TF (CX11,0KG PÇ3,7KG)</t>
  </si>
  <si>
    <t>PRESUNTO COZIDO RETANGULAR 20KG</t>
  </si>
  <si>
    <t>PRESUNTO COZIDO RETANGULAR S CAPA GORDURA(1)(731)</t>
  </si>
  <si>
    <t>PRESUNTO COZIDO SEM CAPA GORD SADIA CX.6,9</t>
  </si>
  <si>
    <t>PRESUNTO DE PERU COZIDO SADIA CX7KG</t>
  </si>
  <si>
    <t>PRESUNTO TRADICIONAL MAGRO OVAL PERD</t>
  </si>
  <si>
    <t>PRP136 PRESUNTO PERU PERD CX 13,6KG</t>
  </si>
  <si>
    <t>Q COALHO C/ OREG ESPETO SERT 450 G CX10,8KG</t>
  </si>
  <si>
    <t>Q MUSSARELA SERT 4 KG</t>
  </si>
  <si>
    <t>Q PRATO SERT 4 KG</t>
  </si>
  <si>
    <t>QUEIJO CHEDDAR FATIADO 200G(1)</t>
  </si>
  <si>
    <t>QUEIJO MUSSARELA AMANDA</t>
  </si>
  <si>
    <t>QUEIJO MUSSARELA FATIADO 200G(1,2)(751)</t>
  </si>
  <si>
    <t>QUEIJO MUSSARELA FATIADO PICNIC 150G CX2,7K</t>
  </si>
  <si>
    <t>QUEIJO PRATO FATIADO 200G(1,2)(760) (CX3,0KG)</t>
  </si>
  <si>
    <t>REC CONG DE AVES-COXA/SOBRECOXA(FILE)</t>
  </si>
  <si>
    <t>REC CONG DE AVES-PEITO(FILE)</t>
  </si>
  <si>
    <t>REF GUARI COLA 2LTS CX</t>
  </si>
  <si>
    <t>REF GUARI GUARANA 2TLS 6UN FARDO</t>
  </si>
  <si>
    <t>REF GUARI LARANJA 2LTS FD</t>
  </si>
  <si>
    <t>REF GUARI PICHULA</t>
  </si>
  <si>
    <t>REFRI GUARI PICHULA LARANJA FD</t>
  </si>
  <si>
    <t>REFRI GUARI PICHULA UVA FD</t>
  </si>
  <si>
    <t>REQUEIJAO 4 QUEIJOS 180G(1,3)</t>
  </si>
  <si>
    <t>REQUEIJAO CHEDDAR 180G(1,3)</t>
  </si>
  <si>
    <t>REQUEIJAO CREMOSO LIGHT SERT 12X200G</t>
  </si>
  <si>
    <t>REQUEIJAO CREMOSO LIGHT SERT 30X200G</t>
  </si>
  <si>
    <t>REQUEIJAO CREMOSO PICNIC 200 G CX4,8K</t>
  </si>
  <si>
    <t>REQUEIJAO CREMOSO TRAD SERT 12X200G (CX2,4KG)</t>
  </si>
  <si>
    <t>REQUEIJAO CREMOSO TRAD SERT 30X200G</t>
  </si>
  <si>
    <t>REQUEIJAO CULINARIO BISNAGA SERT 9X1,5 KG</t>
  </si>
  <si>
    <t>REQUEIJAO ERVAS FINAS 180G(1,3)</t>
  </si>
  <si>
    <t>REQUEIJAO LIGHT 180 G(1,3)</t>
  </si>
  <si>
    <t>REQUEIJAO TRADICIONAL 180G(1,3)</t>
  </si>
  <si>
    <t>SALAME ITALIANO FATIADO SADIA CX 3KG (PCT100GR)</t>
  </si>
  <si>
    <t>SALAME ITALIANO MINI SADIA 6KG</t>
  </si>
  <si>
    <t>SALAME PERDIGAO CX 3KG VARIAVEL</t>
  </si>
  <si>
    <t>SALAME PERDIGAO CX 5KG VARIAVEL</t>
  </si>
  <si>
    <t>SALAME TIPO ALEMAO(1)</t>
  </si>
  <si>
    <t>SALAME TIPO CALABRES MEIA PECA(1)</t>
  </si>
  <si>
    <t>SALAME TIPO ITALIANO(1)</t>
  </si>
  <si>
    <t>SALAME TIPO MILANO(1)(265)</t>
  </si>
  <si>
    <t xml:space="preserve">SALAMINHO(1)(212) </t>
  </si>
  <si>
    <t>SALSICHA 3KG PALMALI CG (CX.12KG)</t>
  </si>
  <si>
    <t>SALSICHA CONG PCT 3,3KG CX13,2KG GO</t>
  </si>
  <si>
    <t>SALSICHA CONGELADA PCTE 3 KG (CX18KG)</t>
  </si>
  <si>
    <t>SALSICHA CONGELADA PCTE 5 KG</t>
  </si>
  <si>
    <t>SALSICHA GUIBON 18 KG</t>
  </si>
  <si>
    <t>SALSICHA HOT DOG CONG 6X3 KG</t>
  </si>
  <si>
    <t>SALSICHA HOT DOG CONG PCT 5KG CX PAP</t>
  </si>
  <si>
    <t>SALSICHA HOT DOG RESF 3KG CX6KG</t>
  </si>
  <si>
    <t>SALSICHA HOT DOG RESF 420G(1)</t>
  </si>
  <si>
    <t>SALSICHA HOTDOG CONGELADA 3KG - LARANJAL</t>
  </si>
  <si>
    <t>SALSICHA LONG TERMOFORMADA CONG.FRIATO</t>
  </si>
  <si>
    <t xml:space="preserve">SALSICHAS A VINAGRETE 400GRS - LARANJAL </t>
  </si>
  <si>
    <t xml:space="preserve">SALSICHAS HOT DOG 3KG - LARANJAL </t>
  </si>
  <si>
    <t xml:space="preserve">SALSICHAS HOTDOG 500GRS - LARANJAL </t>
  </si>
  <si>
    <t>SEARA LING CALABRESA CUR 2,5KG 810</t>
  </si>
  <si>
    <t>SHG420 SALSICHA HOT DOG 4PT CX 20KG</t>
  </si>
  <si>
    <t>SOBRECOXA BAND CONG BONASA CX 12KG</t>
  </si>
  <si>
    <t>SOBRECOXA BDJ 1KG CX 12KG</t>
  </si>
  <si>
    <t>SOBRECOXA FGO CONG BDJ 1KG SADIA CX 12KG</t>
  </si>
  <si>
    <t>SOBREMESA LACT CHOCOLATE BDJ 200G(1)</t>
  </si>
  <si>
    <t>SPETTIN EMPANADO TEMP CX 03 KG</t>
  </si>
  <si>
    <t>SPETTIN FRANGO CX 3KG</t>
  </si>
  <si>
    <t>SPETTIN FRANGO TEMP. PCT 0,5 KG CX 3,0KG</t>
  </si>
  <si>
    <t>STEAK DE FRANGO 100G AVIVAR CX 6KG</t>
  </si>
  <si>
    <t>STEAK EMPANADO DE FRANGO</t>
  </si>
  <si>
    <t>STEAK EMPANADO DE FRANGO CX. 4,5</t>
  </si>
  <si>
    <t>STEAK FRANGO EMPANADO 100G 6 KG</t>
  </si>
  <si>
    <t>TILAPIA FILE 400G 4,8KG PESCANOBRE MG</t>
  </si>
  <si>
    <t xml:space="preserve">TIRINHAS DE FRANGO EMPANADO 300G(1)(967) </t>
  </si>
  <si>
    <t xml:space="preserve">TORRESMO SEMI PRONTO 400GRS - LARANJAL </t>
  </si>
  <si>
    <t>TULIPA - MEIO DAS ASAS CG.FGO.PCTS.PP.20</t>
  </si>
  <si>
    <t>LEITE FERMENTADO FRIMINHO GRF 170 G(1,3)</t>
  </si>
  <si>
    <t>CARNE CONG SUINO C/ OSSO-COSTELA CX 20KG</t>
  </si>
  <si>
    <t>LINGUICA MISTA PIF PAF 5KG CX 10KG</t>
  </si>
  <si>
    <t>MINI KIBE CARNE BOVINA 300G 3,6KG</t>
  </si>
  <si>
    <t>REQUEIJAO CREMOSO LIGHT SERT 200G</t>
  </si>
  <si>
    <t>REQUEIJAO CREMOSO TRAD SERT 200G</t>
  </si>
  <si>
    <t>REQUEIJAO CULINARIO BISNAGA SERT 1,5 KG</t>
  </si>
  <si>
    <t>GALINHA. CG.C/MIUDOS PCT.PP.20</t>
  </si>
  <si>
    <t>COXAS E SOBRECOXAS CG.FGO.IND.PP.</t>
  </si>
  <si>
    <t>DRUMETTE (COXINHA DAS ASAS) FGO.CG.PCTS.PP.20</t>
  </si>
  <si>
    <t>HAMBURGUER BOI 12UN CX 8.064KG</t>
  </si>
  <si>
    <t>PEITO CG.FGO.IND.PP.18</t>
  </si>
  <si>
    <t>SOBREMESA LACT CHOCOLATE BRANCO BDJ 200G</t>
  </si>
  <si>
    <t>LINGUICA MISTA DEF PERD PCT 1,0 KG (TROPEIRA)</t>
  </si>
  <si>
    <t>FRANGO INATURA CONGELADO ROSAVES</t>
  </si>
  <si>
    <t>LINGUICA CALAB FINA 240G CX3,6KG (TF)</t>
  </si>
  <si>
    <t>FIGADO CONGELADO ALMOFADA 18 KG GUIBON</t>
  </si>
  <si>
    <t>ASA CONGELADA IND. GUIBON 18 KG.</t>
  </si>
  <si>
    <t>BEB LACT UHT CHOCOLATE FRIMESA 200 ML(1,2)</t>
  </si>
  <si>
    <t>COXINHA FGO C REQUEIJAO LADELLI 300G 6KG</t>
  </si>
  <si>
    <t>FILE DE PEITO BDJ 1KG CX12</t>
  </si>
  <si>
    <t>FILE PEITO CG BANDEJA 1KG CX 18KG</t>
  </si>
  <si>
    <t>LANCHE -ROSFRIOS (CX14,5)</t>
  </si>
  <si>
    <t>LINGUICA TIPO CALABRESA (CX15KG) ROSFRIOS</t>
  </si>
  <si>
    <t>MOELA FGO. BANDEJA 1KG CX12KG</t>
  </si>
  <si>
    <t>CUPIM TEMPERADO FATIADO MAFRIPAR</t>
  </si>
  <si>
    <t>LINGUICA CALABRESA RETA SADIA INST 2,5KG</t>
  </si>
  <si>
    <t>BACON EXTRA PALETA NP CX 8 KG PIF PAF</t>
  </si>
  <si>
    <t>FILE DE COXA SOBRE S/ PELE BDJ 1KGCX12KG PIFPAF</t>
  </si>
  <si>
    <t>LINGUICA CARNE SUINA CHURR 5KG CX10KG PIFPAF</t>
  </si>
  <si>
    <t>MEIO DA ASA TEMP IQF 700G CX11,2KG PIFPAF</t>
  </si>
  <si>
    <t>MORTADELA TIPO BOLOGNA FAT(1) FRIMESA</t>
  </si>
  <si>
    <t>LINGUICA DE CARNE SUINA APIMENTADA FINA CONGELADA 5 KG parman</t>
  </si>
  <si>
    <t>PAO DE ALHO BACON 280G</t>
  </si>
  <si>
    <t>PAO DE ALHO PIMENTA 280G</t>
  </si>
  <si>
    <t>APRESUNTADO FATIADO PCT 180G CX 2,88KG</t>
  </si>
  <si>
    <t>PAO DE QUEIJO COQUETEL 1KG CX 8KG</t>
  </si>
  <si>
    <t>SALSICHA RESF TERMOFORMADA 1 KG CX 12 KG</t>
  </si>
  <si>
    <t>TIRINHAS EMPANADAS 300G 3KG</t>
  </si>
  <si>
    <t>CARNE CONGELADA DE SUINO COM OSSO (CARRE)</t>
  </si>
  <si>
    <t>COXINHA DAS ASAS FGO EMP CONG SD 400G SD</t>
  </si>
  <si>
    <t>PAO DE ALHO CALABRESA 280G</t>
  </si>
  <si>
    <t>PAO DE ALHO CREMOSO 280G</t>
  </si>
  <si>
    <t>COXA S/COXA CONG BANDEJA 1KG CX 18KG</t>
  </si>
  <si>
    <t>COXAS E SOBRECOXAS (CORTES CONGELADOS DE FRANGO)</t>
  </si>
  <si>
    <t>COXINHA DAS ASAS (CORTES CONGELADOS DE FRANGO)</t>
  </si>
  <si>
    <t>LINGUICA DE CARNE SUINA APIMENTADA FINA CONGELADA 1 KG</t>
  </si>
  <si>
    <t>LINGUICA DE CARNE SUINA FINA RESFRIADA 500G</t>
  </si>
  <si>
    <t>PAO DE QUEIJO LANCHE 1KG CX 8KG</t>
  </si>
  <si>
    <t>SALSICHA HOT DOG CONG 500G TERMOFORM CX 18KG</t>
  </si>
  <si>
    <t>BEB LACT UHT CHOCOLATE FRIMESA 1L(1,2)</t>
  </si>
  <si>
    <t>REQUEIJAO CHEDDAR 200G(1,3)</t>
  </si>
  <si>
    <t>REQUEIJAO TRADICIONAL 200G(1,3)</t>
  </si>
  <si>
    <t>COXINHA ASA TEMP IQF 0,7KG CX 11,2</t>
  </si>
  <si>
    <t>MANTEIGA EXTRA SEM SAL 500G(1,2)</t>
  </si>
  <si>
    <t>REQUEIJAO ERVAS FINAS 200G(1,3)</t>
  </si>
  <si>
    <t>(FILEZINHO - SASSAMI) CORTES CONGELADOS DE FRANGO</t>
  </si>
  <si>
    <t xml:space="preserve">(PEITO SEM OSSO SEM PELE) CORTES CONGELADOS DE FRANGO </t>
  </si>
  <si>
    <t xml:space="preserve">(PEITO) CORTES CONGELADOS DE FRANGO </t>
  </si>
  <si>
    <t xml:space="preserve">(SOBRECOXAS) CORTES CONGELADOS DE FRANGO </t>
  </si>
  <si>
    <t>REFRI GUARI GUARANA 1 LITRO</t>
  </si>
  <si>
    <t>AGUA DE COCO PASTEURIZADA DE 900ML</t>
  </si>
  <si>
    <t>APRESUNTADO COZIDO FATIADO 200G(1)</t>
  </si>
  <si>
    <t>IOG COCO GRF 850G(1,2)</t>
  </si>
  <si>
    <t>LINGUICA CALABRESA RETA PT2,5KG PERDIGAO</t>
  </si>
  <si>
    <t>BACON EM CUBOS 400G(1,2)</t>
  </si>
  <si>
    <t>COXA S/COXA DESOSSADA CONG PCT 5KG CX 20KG</t>
  </si>
  <si>
    <t>SASSAMI CG.FGO.INT.PP.20</t>
  </si>
  <si>
    <t>STEAK FRANGO EMPANADO GRANEL 6,0KG(1)</t>
  </si>
  <si>
    <t>IOG MORANGO CP 165G(1,3)</t>
  </si>
  <si>
    <t>IOG ZERO MORANGO GRF 170G(1,3)</t>
  </si>
  <si>
    <t>MANTEIGA EXTRA SEM SAL 200G(1,2)</t>
  </si>
  <si>
    <t>REQ CULINARIO CANTO DE MINAS BIS 1,8 KG</t>
  </si>
  <si>
    <t>REQ CULINARIO TRAD BIS 400G</t>
  </si>
  <si>
    <t>REQUEIJAO 4 QUEIJOS 200G(1,3)</t>
  </si>
  <si>
    <t>SOBREMESA LACT FLAN BAUN CARAM BDJ 200G(1)</t>
  </si>
  <si>
    <t>ASAS (CORTES CONGELADOS DE FRANGO)</t>
  </si>
  <si>
    <t>BATATA PRE-FRITA AVIVAR 400G CX 14,4KG</t>
  </si>
  <si>
    <t>SALGADO COXINHA PRE-FRITA CONG 300G AVIVAR CX 3,6KG</t>
  </si>
  <si>
    <t>IOGURTE ABACAXI 120GR</t>
  </si>
  <si>
    <t>LINGUICA PEROLA CUIABANA SUINA(500G)</t>
  </si>
  <si>
    <t>LINGUICA PEROLA FRANGO FINA(2,5KG)</t>
  </si>
  <si>
    <t>LINGUICA PEROLA FRANGO FINA(500G)</t>
  </si>
  <si>
    <t>LINGUICA PEROLA SUINA APIM. FINA(1KG)</t>
  </si>
  <si>
    <t>LINGUICA PEROLA SUINA APIM. FINA(2,5KG)</t>
  </si>
  <si>
    <t>LINGUICA PEROLA SUINA APIM. FINA(500G)</t>
  </si>
  <si>
    <t>LINGUICA PEROLA SUINA ESPECIAL FINA(1KG)</t>
  </si>
  <si>
    <t>LINGUICA PEROLA SUINA ESPECIAL FINA(2,5KG)</t>
  </si>
  <si>
    <t>LINGUICA PEROLA SUINA ESPECIAL FINA(500G)</t>
  </si>
  <si>
    <t>LINGUICA PEROLA SUINA FINA(1KG)</t>
  </si>
  <si>
    <t>LINGUICA PEROLA SUINA FINA(2,5KG)</t>
  </si>
  <si>
    <t>LINGUICA PEROLA SUINA FINA(500G)</t>
  </si>
  <si>
    <t>LINGUICA PEROLA TOSCANA APIM. GROSSA(500G)</t>
  </si>
  <si>
    <t>LINGUICA PEROLA TOSCANA APIM. GROSSA(5KG)</t>
  </si>
  <si>
    <t>LINGUICA PEROLA TOSCANA GROSSA(1KG)</t>
  </si>
  <si>
    <t>LINGUICA PEROLA TOSCANA GROSSA(500G)</t>
  </si>
  <si>
    <t>LINGUICA PEROLA TOSCANA GROSSA(5KG)</t>
  </si>
  <si>
    <t>SALAME HAMB. FATIADO SADIA CX 3KG</t>
  </si>
  <si>
    <t>CREME DE LEITE UHT LEVE 200 G(1)</t>
  </si>
  <si>
    <t>IOG MEL CP 165G(1,2)</t>
  </si>
  <si>
    <t>IOG 4 MORANGO 2 COCO BDJ 540G(1,2)</t>
  </si>
  <si>
    <t>COXAS E SOBRECOXAS SEM OSSO IND. CONG. GUIBON 18 KG</t>
  </si>
  <si>
    <t>EXCELENCIA LING CALABRESA KG 192972</t>
  </si>
  <si>
    <t>PELE CG.FGO/GAL.PCST.PP.20</t>
  </si>
  <si>
    <t>QUEIJO MUSSARELA PROCESSADO [7897159500399]</t>
  </si>
  <si>
    <t>BACON MANTA MEIA PECA(1,2)</t>
  </si>
  <si>
    <t>HAMBURGUER BOVINO 540G 6UN X 90G(1)</t>
  </si>
  <si>
    <t>PEITO FGO CONG PCTE CX20KG</t>
  </si>
  <si>
    <t>PERNIL FATIA CONG SUI C O C P(1,2)</t>
  </si>
  <si>
    <t>REQUEIJAO CREMOSO CHEDDAR BG 24X400 G</t>
  </si>
  <si>
    <t>IOG BICAMADAS FRUTAS VERMELHAS CP 165G(1,3)</t>
  </si>
  <si>
    <t>QUEIJO MUSSARELA FATIADO 200G(1,3)</t>
  </si>
  <si>
    <t>AFIAMBRADO</t>
  </si>
  <si>
    <t>LANCHE</t>
  </si>
  <si>
    <t>LING CARNE SUINA FINA APIMENTADA</t>
  </si>
  <si>
    <t>LING FRANGO C/ BACON PREMIUM 500G</t>
  </si>
  <si>
    <t>LINGUICA SUINA C/QUEIJO 500G</t>
  </si>
  <si>
    <t>LINGUICA SUINA FINA C/ CHEIRO VERDE</t>
  </si>
  <si>
    <t>LINGUICA TOSCANA FRANGO 5KG</t>
  </si>
  <si>
    <t>LINGUICA TOSCANA FRANGO C/ CHEIRO VERDE</t>
  </si>
  <si>
    <t>LINGUICA TOSCANA MISTA</t>
  </si>
  <si>
    <t>LINGUICA TOSCANA NA GRELHA 1 KG</t>
  </si>
  <si>
    <t>QUEIJO MUSSARELA FATIADA BANDEJA 16X150G</t>
  </si>
  <si>
    <t>TIRINHAS DE FRANGO EMPANADO 2,5KG(1)</t>
  </si>
  <si>
    <t>FILEZINHO (SASSAMI) CONG. ALMOFADA GUIBON 18 KG</t>
  </si>
  <si>
    <t>FRANGO CONGELADO (COM 2 PES, 2 FIGADOS, 2 MOELAS, 2 PESCOCOS</t>
  </si>
  <si>
    <t>LINGUICA DE FRANGO CONG 3KG</t>
  </si>
  <si>
    <t>LINGUICA DE FRANGO CONG 800G</t>
  </si>
  <si>
    <t>PEITO SEM OSSO COM PELE CONG. 18 KG.</t>
  </si>
  <si>
    <t>ASA FGO CONG. BAND.</t>
  </si>
  <si>
    <t>BATATA COPACOL PALITO CONG PACOTE 2KG</t>
  </si>
  <si>
    <t>BATATA COPACOL PALITO CONG PACOTE 400GR</t>
  </si>
  <si>
    <t>CORACAO FRANGO CONG. BAND.</t>
  </si>
  <si>
    <t>COXA DE FRANGO CONG IQF 800G</t>
  </si>
  <si>
    <t>COXINHA DA ASA FGO I.Q.F. 800GR</t>
  </si>
  <si>
    <t>FIGADO FGO CONG. BAND.</t>
  </si>
  <si>
    <t>FILE TILAPIA I.Q.F. 400GR</t>
  </si>
  <si>
    <t>FRANGO A PASSARINHO CONG.I.Q.F. 800GR</t>
  </si>
  <si>
    <t>LASANHA DE FRANGO CONGELADA 600G</t>
  </si>
  <si>
    <t>LASANHA QUATRO QUEIJOS CONGELADA 600G</t>
  </si>
  <si>
    <t>LASANHA Ã€ BOLONHESA CONGELADA 600G</t>
  </si>
  <si>
    <t>LINGUICA FGO COM QUEIJO BACON CONG.600G</t>
  </si>
  <si>
    <t>LINGUICA FRANGO FINA APIMENTADA CONG.</t>
  </si>
  <si>
    <t>MEIO DA ASA FGO CONG. BAND.</t>
  </si>
  <si>
    <t>MILHO VERDE COPACOL CONG.PCT 300GR</t>
  </si>
  <si>
    <t>MORTADELA C/TOUCINHO COPACOL 10X1 KG</t>
  </si>
  <si>
    <t>MORTADELA C/TOUCINHO COPACOL 500GR</t>
  </si>
  <si>
    <t>PAO DE ALHO RESF.BAND.400GR</t>
  </si>
  <si>
    <t>PAO DE QUEIJO TRADICIONAL CONG PCT 375G</t>
  </si>
  <si>
    <t>SOBRECOXA FGO CONG. BAND.</t>
  </si>
  <si>
    <t>STEAK FRANGO EMPANADO CONG.100GR</t>
  </si>
  <si>
    <t>TIRINHAS DE FRANGO EMPANADAS CONG.300GR</t>
  </si>
  <si>
    <t>BISTECA CONG SUI C O APROX 1KG(1,2)</t>
  </si>
  <si>
    <t>COPA LOMBO FATIADA CONG SUI C O(1,2)</t>
  </si>
  <si>
    <t>KIT SALGADOS(1,2)</t>
  </si>
  <si>
    <t>INGREDIENTES P FEIJOADA 800G(1,2)</t>
  </si>
  <si>
    <t>MORTADELA DE FRANGO 1 KG</t>
  </si>
  <si>
    <t>SALAME TIPO MILANO FATIADO PCT 1KG(1)</t>
  </si>
  <si>
    <t>DOCE DE LEITE C CHOCOLATE 400G(1)</t>
  </si>
  <si>
    <t>HAMBURGUER DE CARNE SUINA E CARNE BOVINA 6,048KG(1)</t>
  </si>
  <si>
    <t>SOBREMESA LAC DOCE DE LEITE BDJ 200G(1)</t>
  </si>
  <si>
    <t>CALABRESINHA A GRANEL PCT 2,5 KGS</t>
  </si>
  <si>
    <t>FILEZINHO (SASSAMI) INDIVIDUAL</t>
  </si>
  <si>
    <t>FRANGO CG C MIUDOS FGO.CG.PCT.PP.22</t>
  </si>
  <si>
    <t>JERKED BEEF P.AGULHA 60X0,5 FRINENSE</t>
  </si>
  <si>
    <t>MEIO DA ASA INDIVIDUAL</t>
  </si>
  <si>
    <t>BACON PEDACOS 6KG</t>
  </si>
  <si>
    <t>CALABRESA A GRANEL PCT 2,5 KGS</t>
  </si>
  <si>
    <t>LINGUICA FRANGO BANDEJA CONG (625GR)</t>
  </si>
  <si>
    <t>LINGUICA FRANGO C/CH. VD APIM. BAND CONG</t>
  </si>
  <si>
    <t>LINGUICA FRANGO FINA (5KG)</t>
  </si>
  <si>
    <t>LINGUICA FRANGO FINA KG S/P(0,800GR)</t>
  </si>
  <si>
    <t>LINGUICA SUINA C/CH. VD APIM. BAND CONG</t>
  </si>
  <si>
    <t>COXA/SOB. FGO CONG. BAND.</t>
  </si>
  <si>
    <t>CAMARAO CONGELADO PCT 400GR</t>
  </si>
  <si>
    <t>BATATA RUSTICA CONG.400GR</t>
  </si>
  <si>
    <t>FILE DE PEITO METADES FGO CONG. BAND.</t>
  </si>
  <si>
    <t>LINGUICA CHURRASCO CONG.800GR</t>
  </si>
  <si>
    <t>LINGUICA FGO SABOR ALHO CEBOLA CONG.600G</t>
  </si>
  <si>
    <t>MORTADELA C/TOUCINHO COPACOL 2KG</t>
  </si>
  <si>
    <t>COXA  (CORTES CONGELADOS DE FRANGO)</t>
  </si>
  <si>
    <t>COXINHA DA ASA FGO CONG. BAND.</t>
  </si>
  <si>
    <t>FILE PEITO SEM OSSO SEM PELE 20KG</t>
  </si>
  <si>
    <t>FRANGO SW CG C MIUDOS FGO.CG.PCT.PP.18</t>
  </si>
  <si>
    <t>FRANGO SW CG C/ MIUDOS FGO.PCT.PP.20</t>
  </si>
  <si>
    <t>REQUEIJAO LIGHT 200G(1,3)</t>
  </si>
  <si>
    <t>CALABRESINHA 400G CX C/15</t>
  </si>
  <si>
    <t>FILE PEITO SOP FGO CONG BDJ 1KG SD BIO</t>
  </si>
  <si>
    <t>LASANHA PRESUNTO E QJO AO SUGO 600G SD</t>
  </si>
  <si>
    <t>LINGUICA TOSCANA PCT 5KG(1)</t>
  </si>
  <si>
    <t>MANTEIGA EXTRA COM SAL 200G(1,2)</t>
  </si>
  <si>
    <t>MASCARA C ORELHAS SALG SUI(1,2)</t>
  </si>
  <si>
    <t>NECTAR GOIABA LFRUIT 200ML 24X1</t>
  </si>
  <si>
    <t>NECTAR MARAC  LFRUIT 200ML 24X1</t>
  </si>
  <si>
    <t>NECTAR UVA LAFRUIT 200ML 24X1</t>
  </si>
  <si>
    <t>PITCHULA UVA 250ML 12X1</t>
  </si>
  <si>
    <t>PITCHULA VIT GUAR 250ML 12X1</t>
  </si>
  <si>
    <t>PITCHULA VIT LARAN 250ML 12X1</t>
  </si>
  <si>
    <t>PITCHULAO GUARANA 2LTS 6X1</t>
  </si>
  <si>
    <t>RABO SALG SUI(1,2)</t>
  </si>
  <si>
    <t>COXAS E SOBRECOXAS INDIVIDUAL</t>
  </si>
  <si>
    <t>COXINHA DA ASA DRUMETTE GUIBON</t>
  </si>
  <si>
    <t>ANEIS DE CEBOLA CONG400GR</t>
  </si>
  <si>
    <t>CORACAO CONG AVIVAR PCT 1KG CX 20KG</t>
  </si>
  <si>
    <t>COXA S/COXA DESOSSADA CONG BANDEJA 1KG CX 18KG</t>
  </si>
  <si>
    <t>FIAMBRE-LANCHE DE FRANGO</t>
  </si>
  <si>
    <t>FILE CONG SUI S O/ (FILE MIGNON)</t>
  </si>
  <si>
    <t xml:space="preserve">GOIANINHO 500ML 12X1 </t>
  </si>
  <si>
    <t>LASANHA CALABRESA CONGELADA 600G</t>
  </si>
  <si>
    <t>LING SUINA PIMENTA BIQUINHO 600G CX 6KG</t>
  </si>
  <si>
    <t>LINGUICA CALABRESA FRESCAL PCT 1KG</t>
  </si>
  <si>
    <t>MOELA FGO CONG BAND</t>
  </si>
  <si>
    <t>SALSICHA HOT DOG CONG RARA PCT 5KG CX 20KG</t>
  </si>
  <si>
    <t>REQUEIJAO CREMOSO CHEDDAR BIS 9X1,2</t>
  </si>
  <si>
    <t>COS010 COSTELA SUI CONG PERD CX 10KG</t>
  </si>
  <si>
    <t xml:space="preserve">ASAS 20KG - CORTES CONGELADOS DE FRANGO </t>
  </si>
  <si>
    <t>COSTELA TEMP CONG SUI C O(1,2)</t>
  </si>
  <si>
    <t>LINGUICA TOSCANA SELADA PCT 5KG(1)</t>
  </si>
  <si>
    <t>MEIO DAS ASAS 1KG PCT 20KG (CORTES CONGELADOS DE FRANGO)</t>
  </si>
  <si>
    <t>NECTAR CAJU LFRUIT 200ML 24X1</t>
  </si>
  <si>
    <t>NECTAR LARANJA LFR 200ML 24X1</t>
  </si>
  <si>
    <t>PITCHULAO LARANJA 2LTS 6X1</t>
  </si>
  <si>
    <t>BACON FATIADO 800G PIFPAF CX8KG</t>
  </si>
  <si>
    <t>COSTELA MINGA CONG SUI C O(1,2)</t>
  </si>
  <si>
    <t>FILE PEITO CONG RARA PCT ENVELOPADO CX 20KG</t>
  </si>
  <si>
    <t>FRANGO PASSARINHO TEMP CONG RARA PCT 1KG CX 20KG</t>
  </si>
  <si>
    <t>GOIANINHO 2,0 LTS 6X1 DP</t>
  </si>
  <si>
    <t>LINGUICA MISTA DEF FINA PCT 2.5KG CX 15KG</t>
  </si>
  <si>
    <t>LINGUICA TOSCANA SUINA CX 10KG</t>
  </si>
  <si>
    <t>MORTADELA TRAD 400G T.AMB CX PAP 4,8KG</t>
  </si>
  <si>
    <t>PEITO CONG RARA PCT ENVELOPADO CX 20KG</t>
  </si>
  <si>
    <t>SASSAMI FILEZINHO CONG RARA PCT 1KG CX 20KG</t>
  </si>
  <si>
    <t>TILAPIA FILE 400G 5,6KG PESCANOBRE MG</t>
  </si>
  <si>
    <t>ALEGRIA FRUIT LARANJA 320ML 18X1</t>
  </si>
  <si>
    <t>DORSO CONG</t>
  </si>
  <si>
    <t>HOT POCKET X-BURGUER MAIONESE GRILL P M</t>
  </si>
  <si>
    <t>VULCANO ENERG DRINK 473ML LATA 4X6X1</t>
  </si>
  <si>
    <t>ASAS - INDIVIDUAL - 18 KG (CORTES CONGELADOS)</t>
  </si>
  <si>
    <t>COXINHA ASA CONG RARA PCT 1KG CX 20KG</t>
  </si>
  <si>
    <t>FILE DE TILAPIA CONG AVIVAR PCT 400G CX 12KG</t>
  </si>
  <si>
    <t>MEIO ASA TEMP. BARBECUE CONG PCT 1KG CX 10KG</t>
  </si>
  <si>
    <t>MORTADELA TRAD 3KG T.AMB CX 12KG</t>
  </si>
  <si>
    <t>SALSICHA HOT DOG CONGELADA</t>
  </si>
  <si>
    <t>SOBRECOXA CONG PCT 5KG INTER CX 20KG</t>
  </si>
  <si>
    <t>VULCANO ENERG DRINK 350ML LATA 4X6X1</t>
  </si>
  <si>
    <t>COXINHA ASA TEMP IQF 1 KG CX 12 KG GO</t>
  </si>
  <si>
    <t>CREME DE LEITE UHT 1,030 KG EDGE ITALAC</t>
  </si>
  <si>
    <t>FGO A PASSARINHO TEMP IQF 1KG CX12 KG GO</t>
  </si>
  <si>
    <t>LEITE UHT INTEGRAL 1L(1,3)</t>
  </si>
  <si>
    <t>LINGUICA DE PERNIL 1KG CX 12KG</t>
  </si>
  <si>
    <t>MINI BOLINHA DE QUEIJO 1 KG</t>
  </si>
  <si>
    <t>MINI BOLINHA NAPOLITANA 1 KG</t>
  </si>
  <si>
    <t>MINI COXINHA DE FRANGO COM CATUPIRY 1KG</t>
  </si>
  <si>
    <t>MINI QUIBE COM CATUPIRY 1KG</t>
  </si>
  <si>
    <t>MINI RISOLE DE CARNE 1KG</t>
  </si>
  <si>
    <t xml:space="preserve">SALSICHA HOT DOG RESF 4PT 11,2KG SHG312 </t>
  </si>
  <si>
    <t>COXAS E SOBRECOXAS BANDEJA - 12KG</t>
  </si>
  <si>
    <t>ASAS BANDEJA - 12KG</t>
  </si>
  <si>
    <t>LING SUINA APIMENTADA PREMIUM 5K</t>
  </si>
  <si>
    <t>LINGUICA TIPO CALABRESA DEFUMADA 2,5 KG CX 15KG</t>
  </si>
  <si>
    <t>LOMBO CANADENSE COM PIMENTA MALAGUETA</t>
  </si>
  <si>
    <t>LOMBO CANADENSE COM PROVOLONE</t>
  </si>
  <si>
    <t>PAO DE QUEIJO PODIO 1KG (30G)</t>
  </si>
  <si>
    <t>PRESUNTO FRICO</t>
  </si>
  <si>
    <t>QUEIJO PROVOLONE ARTESANAL</t>
  </si>
  <si>
    <t>SALAME ITALIANO COM AZEITONA</t>
  </si>
  <si>
    <t>SALAMINHO ITALIANO TADICIONAL</t>
  </si>
  <si>
    <t>SALSICHA HOT DOG CONG C/C 3KG CX 18KG</t>
  </si>
  <si>
    <t>LINGUICA DE CARNE SUINA CONGELADA 5 KG</t>
  </si>
  <si>
    <t>LINGUICA DE FRANGO NA GRELHA 1KG</t>
  </si>
  <si>
    <t>PAO DE ALHO C/CALABRESA 10X400G</t>
  </si>
  <si>
    <t>SALAME ITALIANO PREMIUM C/ ERVAS FINAS</t>
  </si>
  <si>
    <t>SOBRECOXA INDIVIDUAL</t>
  </si>
  <si>
    <t xml:space="preserve">LINGUICA CHURRASCO PEROLA(5KG) </t>
  </si>
  <si>
    <t>NECTAR CAJU LAFRUIT 200ML 27X1</t>
  </si>
  <si>
    <t>NECTAR GOIABA LAFRUIT 200ML 27X1</t>
  </si>
  <si>
    <t>NECTAR MARACUJA LAFRUIT 200ML 27X1</t>
  </si>
  <si>
    <t>NECTAR UVA LAFRUIT 200ML 27X1</t>
  </si>
  <si>
    <t>BISTECA (CARNE CONGELADA DE SUINO COM OSSO)</t>
  </si>
  <si>
    <t>COSTELA MINGA CONG SUI C O (CX22KG)</t>
  </si>
  <si>
    <t>LINGUICA TIPO CALABRESA COZIDA RETA PCT 3KG(1)(465)</t>
  </si>
  <si>
    <t>PAO DE ALHO REFRIGERADO 400GR LORIELLA</t>
  </si>
  <si>
    <t>REQUEIJAO CEBOLA CARAMELIZADA 200G(1,3)</t>
  </si>
  <si>
    <t>REQUEIJAO PIMENTA 200G(1,3)</t>
  </si>
  <si>
    <t>ASA 1JTA DRUMETTE FGO CONG 1KG SD BIO</t>
  </si>
  <si>
    <t>PIZZA DE CALABRESA MOIDA CONG 460G PERD</t>
  </si>
  <si>
    <t xml:space="preserve">PIZZA FGO C/CATUP MUSS 460G SADIA PIFRC </t>
  </si>
  <si>
    <t>SALSICHA HOT DOG CONG  CX  6X3 KG</t>
  </si>
  <si>
    <t>NECTAR LARANJA LAFRUIT 200ML 27X1</t>
  </si>
  <si>
    <t>FILE DE TILAPIA CONG 800G(1,2)</t>
  </si>
  <si>
    <t>BATATA PRE-FRITA AVIVAR 2KG CX 14KG</t>
  </si>
  <si>
    <t>COXA CONG PCT 5KG INTER CX 20KG</t>
  </si>
  <si>
    <t>LANCHE FATIADO 200G(1)</t>
  </si>
  <si>
    <t>NECTAR LARAN LFRU 1LT 6X1</t>
  </si>
  <si>
    <t>Q. COALHO ESP. TRAD. SERT - 7898515540707</t>
  </si>
  <si>
    <t>Q. MUSSARELA SELETTO - 7908059900049</t>
  </si>
  <si>
    <t>REQ. CREMOSO TRAD. 15X200 G SERT - 7898515540059</t>
  </si>
  <si>
    <t>COXA S/COXA CONG RARA PCT ENVELOPADO CX 20KG</t>
  </si>
  <si>
    <t>SALSICHA CONG PCT 2KG</t>
  </si>
  <si>
    <t>GALINHA PESADA CONGELADA 18 KG</t>
  </si>
  <si>
    <t>NECTAR UVA LFRUIT 1LT 6X1</t>
  </si>
  <si>
    <t>MARGARINA DELINE COM SAL 1KG</t>
  </si>
  <si>
    <t>MANT. PRIM. QUAL. C/ SAL 24X200 G SERT - 7898515540134</t>
  </si>
  <si>
    <t>Q. COALHO ESP. C/ OREG. SERT - 7898515540691</t>
  </si>
  <si>
    <t>REQ. CREMOSO LIGHT 15X200 G SERT - 7898922466584</t>
  </si>
  <si>
    <t xml:space="preserve">LINGUICA PEROLA FRANGO GROSSA(5KG) </t>
  </si>
  <si>
    <t>MEIO DA ASA CONG (TULIPA)</t>
  </si>
  <si>
    <t>COXA E SOBRECOXA BAND 1KG P12 CONG</t>
  </si>
  <si>
    <t>COXINHA DA ASA BAND 1K P12 CONG</t>
  </si>
  <si>
    <t>FILE DE PEITO BAND 1K P12 CONG</t>
  </si>
  <si>
    <t>FRANGO A PASSARINHO IQF 750G P10,5 CONG</t>
  </si>
  <si>
    <t>HOT POCKET X-CHEDDAR PARA MICROONDAS</t>
  </si>
  <si>
    <t>MOELA BAND 1K P12 CONG</t>
  </si>
  <si>
    <t>PEITO BAND 1K P12 CONG</t>
  </si>
  <si>
    <t>PITCHULAO LARANJA 2L 6X1</t>
  </si>
  <si>
    <t>REQ. CULINARIO BISNAGA 9X1,5 KG SERT - 7898515540202</t>
  </si>
  <si>
    <t>ASA BAND 1K P12 CONG</t>
  </si>
  <si>
    <t>CORACAO 1 KG</t>
  </si>
  <si>
    <t>MANT. PRIM. QUAL. C/ SAL 12X500 G SERT - 7898515540141</t>
  </si>
  <si>
    <t>PAO DE QUEIJO 1KG - FARDO 30G</t>
  </si>
  <si>
    <t>PIZZA SABOR E ARTE CALABRESA 130G</t>
  </si>
  <si>
    <t>PIZZA SABOR E ARTE FGO/CATUPIRY 130G</t>
  </si>
  <si>
    <t>PIZZA SABOR E ARTE MISTA 130G</t>
  </si>
  <si>
    <t>SALGADO COXINHA 1KG</t>
  </si>
  <si>
    <t>SALGADO ENROLADINHO DE SALSICHA 1KG</t>
  </si>
  <si>
    <t>SOBREMESA LACT FLAN BAUN FRUTAS VERMELHAS BDJ 200G(1)</t>
  </si>
  <si>
    <t>ASA 2A JTA TULIPA FGO CONG PT 1KG PERD</t>
  </si>
  <si>
    <t>CORACAO BAND 500G P10 CONG</t>
  </si>
  <si>
    <t>PAO DE ALHO - APIMENTADO  270 G</t>
  </si>
  <si>
    <t>PAO DE ALHO - COM BACON 270 G</t>
  </si>
  <si>
    <t>PAO DE ALHO - TRADICIONAL 330 G</t>
  </si>
  <si>
    <t>Q. COALHO ESP. C/ OREG. SELETTO - 7908059900247</t>
  </si>
  <si>
    <t>PITCHULA VIT COLA 250ML 12X1</t>
  </si>
  <si>
    <t>Q. MINAS MEIA CURA SELETTO -340G</t>
  </si>
  <si>
    <t>Q. MINAS PADRAO SELETTO 350GR</t>
  </si>
  <si>
    <t>Q. COALHO 450G SELETTO - 7908059900018</t>
  </si>
  <si>
    <t>MORTADELA C TOUC CUBOS RESF APROX 1,9KG CX</t>
  </si>
  <si>
    <t xml:space="preserve">GALINHA SW CONG C/MIUDOS PCT CX 22KG </t>
  </si>
  <si>
    <t>Q. COALHO ESP. TRAD. SELETTO - 7908059900254</t>
  </si>
  <si>
    <t>FILE DE TILAPIA 800G IQF - GUIBON</t>
  </si>
  <si>
    <t>MEIO DA ASA BAND 1K P12 CONG</t>
  </si>
  <si>
    <t>PORCO A PASSARINHO FRIMESA</t>
  </si>
  <si>
    <t>ALEGRIA FRUIT LARANJA 500ML</t>
  </si>
  <si>
    <t>SALAME SNACK SADIA</t>
  </si>
  <si>
    <t>SASSAMI IQF 2KG P12 CONG (FILEZINHO)</t>
  </si>
  <si>
    <t>COXA PALITO PIONEIRO</t>
  </si>
  <si>
    <t>LINGUICA MISTA COZ FININHA 240 G(1)</t>
  </si>
  <si>
    <t>CORACAO INDIVIDUAL P18 CONG</t>
  </si>
  <si>
    <t>COXINHA DA ASA INDIVIDUAL P18 CONG</t>
  </si>
  <si>
    <t>SASSAMI INDIVIDUAL P20 CONG</t>
  </si>
  <si>
    <t>REQ. CREMOSO TRAD. 15X180G SELETTO - 7908059900292</t>
  </si>
  <si>
    <t>PEITO SEM OSSO SEM PELE BANDEJA - FILE</t>
  </si>
  <si>
    <t>STEAK FRANGO EMPANADO GRANEL 6,0KG</t>
  </si>
  <si>
    <t>COXA PALITO BAND 1K P12 CONG</t>
  </si>
  <si>
    <t>Q. PARMESAO RALADO 50 G SERT - 7898515540547</t>
  </si>
  <si>
    <t>SALAME FATIADO PERDIGAO PT 100G CX 3KG</t>
  </si>
  <si>
    <t>COXINHA DA ASA BAND 500G P10 CONG</t>
  </si>
  <si>
    <t>COSTELINHA SUINA CO SADIA 10KG</t>
  </si>
  <si>
    <t>VULCANO ENERG DRINK 250ML LATA 4X6X1</t>
  </si>
  <si>
    <t>PITCHULA VIT COLA 250ML 15X1</t>
  </si>
  <si>
    <t>BATATA PREMIUM PRE FRITA 10MM - PCT 2KG CX 12KG BEST FRIES -</t>
  </si>
  <si>
    <t>FILE DE COXA E SOBRECOXA SEM PELE INDIVIDUAL P18 CONG</t>
  </si>
  <si>
    <t>FILE DE PANGA NATURALE PRIME - PCT 500G CX 10KG NINEFISH - B</t>
  </si>
  <si>
    <t>FILE DE PANGA NATURALE PRIME - PCT 800G NINEFISH - BRANCA/AZ</t>
  </si>
  <si>
    <t>FRANGO A PASSARINHO TEMP PACOTE 750G P20,25 CONG</t>
  </si>
  <si>
    <t>IOG ZERO LACTOSE MORANGO CP 165G(1,3)</t>
  </si>
  <si>
    <t>LINGUICA CALABRESA CUR 2,5KG</t>
  </si>
  <si>
    <t>MANT. GAR. 12X450G SELETTO - 7908059900353</t>
  </si>
  <si>
    <t>PRESUNTO RETANGULAR S CAPA GORD COZIDO</t>
  </si>
  <si>
    <t>REQ. CREMOSO LIGHT 15X180G SELETTO</t>
  </si>
  <si>
    <t>REQ. CULINARIO BISNAGA 1,2KG SELETTO - 7908059900339</t>
  </si>
  <si>
    <t>REQ. CULINARIO BISNAGA CHEDDAR 1,2KG SELETTO</t>
  </si>
  <si>
    <t>BOLINHO DE BACALHAU - O FOFINHO - PORTUGAL (300GR)</t>
  </si>
  <si>
    <t>ASA INDIVIDUAL P18 CONG</t>
  </si>
  <si>
    <t>COXA E SOBRECOXA BAND 500G P10 CONG</t>
  </si>
  <si>
    <t>LINGUICA FININHA DEF SEARA</t>
  </si>
  <si>
    <t>MEIO DA ASA INDIVIDUAL P18 CONG</t>
  </si>
  <si>
    <t>PIZZA DE CALABRESA</t>
  </si>
  <si>
    <t>SALS  VINAGRETE 0,4 KG (UND)</t>
  </si>
  <si>
    <t>SASSAMI BAND 500G P10 CONG</t>
  </si>
  <si>
    <t>SOBRECOXA BAND 500G P10 CONG</t>
  </si>
  <si>
    <t>EMPANADO RECH PRES/QJO 110</t>
  </si>
  <si>
    <t>LASANHA BOLONHESA SEARA</t>
  </si>
  <si>
    <t>MORTADELA CONFIANCA GR 14KG</t>
  </si>
  <si>
    <t>BOLINHO DE BACALHAU PCT 11X300G - NINEFISH</t>
  </si>
  <si>
    <t>FILE DE TILAPIA NATURALE PCT IQF 15X800G - NINEFISH</t>
  </si>
  <si>
    <t>SALAME ITALIANO FATIADO S GOURME</t>
  </si>
  <si>
    <t>ASA BAND 500G P10 CONG</t>
  </si>
  <si>
    <t>IOG MORANGO GRF 170G</t>
  </si>
  <si>
    <t xml:space="preserve">LINGUICA PEROLA TOSCANA APIM.(1KG) </t>
  </si>
  <si>
    <t>ALEGRIA FRUIT LARANJA 2 LT 6X1</t>
  </si>
  <si>
    <t>ALEGRIA FRUIT UVA 200ML 15X1</t>
  </si>
  <si>
    <t>ESTRELADO (EMB  MISTO COZIDO SABOR PRESUNTO)</t>
  </si>
  <si>
    <t>MARGARINA DELICATA 50% CS 24X250G</t>
  </si>
  <si>
    <t>Q. MUSSARELA FATIADO 24X150 G SELETTO - 7908059900575</t>
  </si>
  <si>
    <t>QUEIJO MUSSARELA ILDA</t>
  </si>
  <si>
    <t>CORACAO ALMOFADA (MIUDOS CONGELADOS DE FRANGO)</t>
  </si>
  <si>
    <t>FILE DE PEITO INDIVIDUAL P20 CONG</t>
  </si>
  <si>
    <t>MEIO DA ASA BAND 500G P10 CONG</t>
  </si>
  <si>
    <t>MANT. COMUM C/ SAL 24X200 G SELETTO - 7908059900070</t>
  </si>
  <si>
    <t>MARGARINA DORIANA CS 24X250G</t>
  </si>
  <si>
    <t>MORTADELA SABOR FRANGO 1KG</t>
  </si>
  <si>
    <t>COXINHA DAS ASAS (DRUMETTE) BAND</t>
  </si>
  <si>
    <t>LINGUICA TOSCANA</t>
  </si>
  <si>
    <t>PEITO INDIVIDUAL P18 CONG</t>
  </si>
  <si>
    <t>ASA CONG INDIVIDUAL</t>
  </si>
  <si>
    <t>ESTRELANCHE (EMB  MISTO COZIDO SABOR PRESUNTO)</t>
  </si>
  <si>
    <t>FIGADO 1 KG</t>
  </si>
  <si>
    <t>FILE DE COXA E SOBRECOXA COM PELE IQF 2KG P12 CONG</t>
  </si>
  <si>
    <t>LINGUICA DE FRANGO CONGELADA (FININHA) 1 KG</t>
  </si>
  <si>
    <t>MARGARINA DELICATA 50% CS 12X1KG</t>
  </si>
  <si>
    <t>MARGARINA DELICATA 50% CS 12X500G</t>
  </si>
  <si>
    <t>MOELA BAND 500G P10 CONG</t>
  </si>
  <si>
    <t>OLEO DE SOJA 900 ML</t>
  </si>
  <si>
    <t>PIZZA CALABRESA REZENDE 400G</t>
  </si>
  <si>
    <t xml:space="preserve">VULCANO ENERG DRINK 1L PET 6X1 </t>
  </si>
  <si>
    <t>PITCHULAO COLA 2L 6X1</t>
  </si>
  <si>
    <t>PITCHULAO UVA 2L 6X1</t>
  </si>
  <si>
    <t>MARGARINA DORIANA CS 12X500G</t>
  </si>
  <si>
    <t>MORTADELA 400G P9,6 RESF</t>
  </si>
  <si>
    <t>PES DE FRANGO</t>
  </si>
  <si>
    <t>PAO DE ALHO RESF TRADICIONAL 340G</t>
  </si>
  <si>
    <t>SASSAMI BAND 1K P12 CONG</t>
  </si>
  <si>
    <t>VULCANO ENERG DRINK 500ML PET 12X1</t>
  </si>
  <si>
    <t>NECTAR MANGA LAFRUIT 200ML 27X1</t>
  </si>
  <si>
    <t>MANT. GAR. POTE 9X200 G SERT - 7898922466676</t>
  </si>
  <si>
    <t>LINGUICA CARNE SUINA PERDIGAO PCT 900G</t>
  </si>
  <si>
    <t>FILE DE PANGA SUPER PREMIUM - PCT 400G - IQF CX 10KG - NINEF</t>
  </si>
  <si>
    <t>APRESUNTADO ESPECIAL(1)</t>
  </si>
  <si>
    <t>COXA CONG FGO COP 1KG SADIA</t>
  </si>
  <si>
    <t>COXINHA ASA CG BDJ SEARA</t>
  </si>
  <si>
    <t>COXINHA DA ASA CONG (DRUMETTE)</t>
  </si>
  <si>
    <t>FILE DE COXA E SOBRECOXA COM PELE INTERFOLHADO P18 CONG</t>
  </si>
  <si>
    <t>FILE DE PEITO BAND 500G P10 CONG</t>
  </si>
  <si>
    <t>LASANHA CAIXA MISTA SEARA</t>
  </si>
  <si>
    <t>LEITE EM PO INTEGRAL INSTANTANEO 400G</t>
  </si>
  <si>
    <t>LINGUICA BACON CONG 500G P7</t>
  </si>
  <si>
    <t>MORTADELA DEFUMADA S GOURMET</t>
  </si>
  <si>
    <t>NECTAR UVA LFRUIT 1LT 8X1</t>
  </si>
  <si>
    <t>PEPPERONI FATIADO PCT 1KG</t>
  </si>
  <si>
    <t>PORCO PASSARINHO TEMP CONG SUI C O COSTELA(1,2)</t>
  </si>
  <si>
    <t>REQ. CREMOSO TRAD. 12X400G SELETTO - 7908059900629</t>
  </si>
  <si>
    <t>ALEGRIA FRUIT LARANJA 200ML 15X1</t>
  </si>
  <si>
    <t>ALHO PICADO IMPERADOR 200 G</t>
  </si>
  <si>
    <t>AZEITONA VERDE FAT IMPERADOR 160 G</t>
  </si>
  <si>
    <t>AZEITONA VERDE FAT PCH IMPERADOR 160 G</t>
  </si>
  <si>
    <t>AZEITONA VERDE S/C IMPERADOR 160 G</t>
  </si>
  <si>
    <t>BATATA EM FLOCOS 5MM - PCT 6X1KG CX 6KG - LUTOSA</t>
  </si>
  <si>
    <t>CAMARAO CINZA DESC EVISC - PCT 400G 45-79UN (41/50) - LE GOU</t>
  </si>
  <si>
    <t>CREAM CHEESE 150 G(1,2)</t>
  </si>
  <si>
    <t>FILE DE COXA E SOBRECOXA COM PELE IQF 750G P10,5 CONG</t>
  </si>
  <si>
    <t xml:space="preserve">FILE DE TILAPIA PCT IQF 400G LE GOUR </t>
  </si>
  <si>
    <t>HOT HIT BACON SEARA</t>
  </si>
  <si>
    <t>HOT HIT PICANHA SEARA</t>
  </si>
  <si>
    <t>IOGURTE AMEIXA 120GR</t>
  </si>
  <si>
    <t>IOGURTE SABORES MISTO 180 GR</t>
  </si>
  <si>
    <t>LINGUICA TIPO CALAB PERD PCT 400G</t>
  </si>
  <si>
    <t>LINGUICA TIPO CALABRESA FAT PCT 400G RESFRIADA</t>
  </si>
  <si>
    <t>MANT. COMUM C/ SAL 12X500G SELETTO - 7908059900087</t>
  </si>
  <si>
    <t>MEIO DA ASA IQF 750G P10,5 CONG</t>
  </si>
  <si>
    <t>MORTADELA DE FRANGO 2,5KG P10 RESF</t>
  </si>
  <si>
    <t>PALMITO INTEIRO VD IMPERADOR 300 G</t>
  </si>
  <si>
    <t>PALMITO PICADO VD IMPERADOR 280 G</t>
  </si>
  <si>
    <t>PALMITO PICADO VD IMPERADOR 480 G</t>
  </si>
  <si>
    <t>MORTADELA CONF MINI 6KG</t>
  </si>
  <si>
    <t xml:space="preserve">COXA E SOBREC. ENV.CX.18 KG CARNE CONG.FRANGO C/OSSO </t>
  </si>
  <si>
    <t>FILE PEITO MET CG BDJ SEARA</t>
  </si>
  <si>
    <t>FILE PEITO S/PELE ENV.CX20KG CARNE CONG.FRANGO S/OSSO</t>
  </si>
  <si>
    <t>PALMITO INTEIRO VD IMPERADOR 180 G</t>
  </si>
  <si>
    <t>PAO FRANCES 5H 1KG</t>
  </si>
  <si>
    <t>AZEITONA VERDE C/C IMPERADOR 100 G</t>
  </si>
  <si>
    <t>AZEITONA VERDE C/C IMPERADOR 200 GR</t>
  </si>
  <si>
    <t>BACON FATIADO REZENDE 650G</t>
  </si>
  <si>
    <t>CARNE MOIDA ESP 0.500 SCS</t>
  </si>
  <si>
    <t>CORACAO FGO CG BDJ SEARA</t>
  </si>
  <si>
    <t>COSTELA CONG SUI GRANDE C O</t>
  </si>
  <si>
    <t>COXA E SOBRECOXA INDIVIDUAL CX PP 18KG</t>
  </si>
  <si>
    <t xml:space="preserve">COXINHA DA ASA PCT. CX20KG CARNE CONG. FRANGO C/OSSO </t>
  </si>
  <si>
    <t xml:space="preserve">FILEZINHO (SASSAMI) PCT.CX20KG CARNE CONG. FRANGO S/O </t>
  </si>
  <si>
    <t>FRANGO INTEIRO SEM MIUDOS INDIVIDUAL P20 CONG</t>
  </si>
  <si>
    <t>LASANHA DE CALABRESA SEARA</t>
  </si>
  <si>
    <t>LINGUICA PEROLA SUINA C/ BACON E ALHO(500G)</t>
  </si>
  <si>
    <t>LINGUICA PEROLA SUINA C/ PROVOLONE(500G)</t>
  </si>
  <si>
    <t>LINGUICA TIPO CALABRESA COZ FAT PCT 1KG</t>
  </si>
  <si>
    <t>MAIONESE CLASSICA IMPERADOR 325 G</t>
  </si>
  <si>
    <t>MOLHO SHOYU IMPERADOR 145 ML</t>
  </si>
  <si>
    <t>NECTAR LARAN LFRUIT 1LT 8X1</t>
  </si>
  <si>
    <t xml:space="preserve">PAO DE ALHO PEROLA TRADICIONAL(320G) </t>
  </si>
  <si>
    <t>VULCANO ENERG DRINK 250ML SF LATA 4X6X1</t>
  </si>
  <si>
    <t>SALSICHA CONGELADA</t>
  </si>
  <si>
    <t>SOBRECOXA BAND 1K P12 CONG</t>
  </si>
  <si>
    <t>CHICKEN SUPREME SEARA 300G</t>
  </si>
  <si>
    <t>EMPANADO RECHEADO C LEVISSIM</t>
  </si>
  <si>
    <t>ALEGRIA FRUIT UVA 2 LT 6X1</t>
  </si>
  <si>
    <t>IOGURTE MORANGO BITS CHOCODISCOS 12X130G</t>
  </si>
  <si>
    <t>LINGUICA FININHA DEF 215G</t>
  </si>
  <si>
    <t>ALHO PICADO IMPERADOR 400 G</t>
  </si>
  <si>
    <t>BATATA ONDULADA HUSKER CHURRASCO 40G</t>
  </si>
  <si>
    <t>BATATA ONDULADA HUSKER ORIGINAL 40G</t>
  </si>
  <si>
    <t>BATATA PALHA HUSKER 120G</t>
  </si>
  <si>
    <t>BATATA PALHA HUSKER 250G</t>
  </si>
  <si>
    <t>BATATA PALITO PRE-FRITA CONG PT 400G SD</t>
  </si>
  <si>
    <t>CARRE SUI CONG IWP PVAR SD</t>
  </si>
  <si>
    <t>CORACAO BAND 1K P12 CONG</t>
  </si>
  <si>
    <t>COXA PALITO IQF 750G P10,5 CONG</t>
  </si>
  <si>
    <t>CREME DE AVELA COM CACAU 280G(1)</t>
  </si>
  <si>
    <t>CREME DE PEQUI IMPERADOR 185 G</t>
  </si>
  <si>
    <t>FILE DE COXA S/COXA IND</t>
  </si>
  <si>
    <t>FILE DE PEITO IQF 1KG P12 CONG</t>
  </si>
  <si>
    <t>KETCHUP TRADICIONAL IMPERADOR 380 G</t>
  </si>
  <si>
    <t>MAIONESE C ERVAS FINAS IMPERADOR 315 G</t>
  </si>
  <si>
    <t>MAIONESE PICANTE IMPERADOR 325 G</t>
  </si>
  <si>
    <t>MASSA PASTEL HUSKER DISCO 400G</t>
  </si>
  <si>
    <t>MASSA PASTEL HUSKER ROLO 500G</t>
  </si>
  <si>
    <t>MEL SILVESTRE BISNAGA IMPERADOR 250 G</t>
  </si>
  <si>
    <t>MOLHO BARBECUE IMPERADOR 380 G</t>
  </si>
  <si>
    <t>MOLHO DE PIMENTA EXT FO IMPERADOR 900 ML</t>
  </si>
  <si>
    <t>MOSTARDA CLASSICA IMPERADOR 200 G</t>
  </si>
  <si>
    <t>NECTAR GOIABA LFRUIT 1LT 8X1</t>
  </si>
  <si>
    <t>NECTAR MANG LFRUIT 1LT 8X1</t>
  </si>
  <si>
    <t>PEITO PERU DEFUMADO REZENDE</t>
  </si>
  <si>
    <t>PIMENTA BIQUINHO IMPERADOR 180 G</t>
  </si>
  <si>
    <t>PIMENTA BIQUINHO IMPERADOR 90 G</t>
  </si>
  <si>
    <t>PIZZA CAIXA MISTA SEARA</t>
  </si>
  <si>
    <t>POLPA DE PEQUI IMPERADOR VD 130 G</t>
  </si>
  <si>
    <t>QUEIJO MUSSARELA FATIADO 150 G(1,3)</t>
  </si>
  <si>
    <t>QUEIJO PROVOLONE PROVOLETI MINI</t>
  </si>
  <si>
    <t>TEKITOS QUEIJO/OREGANO PAS</t>
  </si>
  <si>
    <t>VULCANO E DRINK 473ML EXPLOSION 24X1</t>
  </si>
  <si>
    <t>VULCANO E DRINK 473ML WILD 24X1</t>
  </si>
  <si>
    <t>BATATA PALITO RICO 1.1 KG</t>
  </si>
  <si>
    <t>FILEZINHO PEITO CG BDJ SEARA</t>
  </si>
  <si>
    <t>LINGUICA PEROLA SUINA APIMENTADA FINA (2,5KG)</t>
  </si>
  <si>
    <t>LINGUICA PEROLA SUINA FINA (2,5KG)</t>
  </si>
  <si>
    <t>NECTAR MISTO UVA E MACA LF 200ML 27X1</t>
  </si>
  <si>
    <t>HAMBURGUER LINGUICA 540G 6UN X 90G</t>
  </si>
  <si>
    <t>TEKITOS PAS 300G</t>
  </si>
  <si>
    <t>COXINHA DA ASA INDIVIDUAL) CX PP 20 KG</t>
  </si>
  <si>
    <t>FILE DE PEITO INDIVIDUAL CX PP 20 KG</t>
  </si>
  <si>
    <t xml:space="preserve">SALSICHA DEFUMADA CG 3KG </t>
  </si>
  <si>
    <t>TEXAS BURGER GRANEL</t>
  </si>
  <si>
    <t>ALEGRIA FRUIT LARANJA 1,5 LT 6X1</t>
  </si>
  <si>
    <t>REQ. CULINARIO BISNAGA CHEDDAR 12X400G SELETTO - 79080599005</t>
  </si>
  <si>
    <t>BATATA PALITO CONGELADA 400G</t>
  </si>
  <si>
    <t>BATATA PALITO PCT CONG 1,5KG</t>
  </si>
  <si>
    <t>CAMARAO VANNAMEI INTEIRO CONG 200G</t>
  </si>
  <si>
    <t>CAMARAO VANNAMEI S CAB COZ CONG 300G</t>
  </si>
  <si>
    <t>COSTELINHA DE FGO TEMP. CONG. 1 KG</t>
  </si>
  <si>
    <t>COXA SOBRECOXA - FGO PASSARINHO IQF 800GR</t>
  </si>
  <si>
    <t>COXA/SOB.S/OSSO FGO CONG.BAND.1KG</t>
  </si>
  <si>
    <t>FILEZINHO FGO TEMP EMP CONG 700 G</t>
  </si>
  <si>
    <t>FRANGO A PASSARINHO CONG. IQF 800GR</t>
  </si>
  <si>
    <t>FRANGO CONGELADO - (SEM MIUDOS)</t>
  </si>
  <si>
    <t>MEIO DAS ASAS (TULIPA)</t>
  </si>
  <si>
    <t>MIX DE VEGETAIS CONG PCT 300GR</t>
  </si>
  <si>
    <t>PEITO SEM OSSO INDIVIDUAL (CORTES CONGELADOS DE FRANGO)</t>
  </si>
  <si>
    <t>PETISCO DE TILAPIA CONGIQF 600G</t>
  </si>
  <si>
    <t>PIZZA CONGELADA DE CALABRESA SADIA</t>
  </si>
  <si>
    <t>PIZZA DE LOMBO COM CATUPIRY</t>
  </si>
  <si>
    <t>POSTA DE TILAPIA CONGELADA PCT IQF</t>
  </si>
  <si>
    <t>PRESUNTO COZ MAGRO OVAL SEA</t>
  </si>
  <si>
    <t>QUEIJO DE COALHO P CHURRASCO FOGO E SABOR</t>
  </si>
  <si>
    <t>REQ. CULINARIO BISNAGA 12X400G SELETTO - 7908059900568</t>
  </si>
  <si>
    <t>SELETA DE LEGUMES CONGELADA PCT 300G</t>
  </si>
  <si>
    <t>TEMPERO ALHOESAL IMPERADOR 800 G</t>
  </si>
  <si>
    <t>GOIANINHO 350ML 12X1 BAND</t>
  </si>
  <si>
    <t>CALABRESA FRESCAL 600G ESPETO</t>
  </si>
  <si>
    <t>ALCATRA CONGELADO SUINO SEM OSSO FOGO E SABOR</t>
  </si>
  <si>
    <t>BATATA PALHA HUSKER 200G</t>
  </si>
  <si>
    <t>CARCACA CONG IND 7</t>
  </si>
  <si>
    <t>COGUMELO FATIADO VD IMPERADOR 200 G</t>
  </si>
  <si>
    <t>CORACAO FGO CONG KG</t>
  </si>
  <si>
    <t>COXA FGO CONGBAND1KG</t>
  </si>
  <si>
    <t>COXAS E SOBRECOXAS SEM OSSO INDIVIDUAL</t>
  </si>
  <si>
    <t>COXINHA DAS ASAS CONG. INDIVIDUAL FRANGAO</t>
  </si>
  <si>
    <t xml:space="preserve">FILE DE TILAPIA FR </t>
  </si>
  <si>
    <t>FILEZINHO (SASSAMI) - SEM OSSO SEM PELE</t>
  </si>
  <si>
    <t>FILEZINHO DE FRANGO EMPANADO</t>
  </si>
  <si>
    <t>LASANHA PRES/QUEIJO REZENDE</t>
  </si>
  <si>
    <t>LEITE FERMENTADO 170GR</t>
  </si>
  <si>
    <t xml:space="preserve">LINGUICA CHURRASCO PEROLA(1KG) </t>
  </si>
  <si>
    <t>LINGUICA TOSCANA SEARA 700G</t>
  </si>
  <si>
    <t>MARG DORIANA CS 24X250G</t>
  </si>
  <si>
    <t>MEIO PEITO CONG. INDIVIDUAL FRANGAO</t>
  </si>
  <si>
    <t>MOLHO DE PIMENTA EXT FO IMPERADOR 145 ML</t>
  </si>
  <si>
    <t>NECT MIST PESS E MACA LF 200ML 27X1</t>
  </si>
  <si>
    <t>PEITO C/OSSO CONG. INDIVIDUAL - FRANGAO</t>
  </si>
  <si>
    <t xml:space="preserve">SALAMINHO SADIA </t>
  </si>
  <si>
    <t>STEAK DE FGO 72UN REZENDE</t>
  </si>
  <si>
    <t>COXA CONG BANDEJA 1KG CX 18KG</t>
  </si>
  <si>
    <t>GALINHA CONGELADA 18 KG</t>
  </si>
  <si>
    <t xml:space="preserve">LINGUICA PEROLA DE PERNIL NANICA(5KG) </t>
  </si>
  <si>
    <t>ALEGRIA FRUIT UVA 310ML 15X1</t>
  </si>
  <si>
    <t>MEIO DA ASA CONG</t>
  </si>
  <si>
    <t>COXA S/COXA C/PORC DORSAL IND</t>
  </si>
  <si>
    <t>SALSICHA 5KG CG SC REZENDE</t>
  </si>
  <si>
    <t>NECTAR MARAC LFRUIT 1LT 8X1</t>
  </si>
  <si>
    <t>LINGUICA PEROLA FRANGO FINA (500G)</t>
  </si>
  <si>
    <t>PRESUNTO COZ OVAL REZENDE</t>
  </si>
  <si>
    <t>BISTECA SUI IQF CONG PT 800G SD</t>
  </si>
  <si>
    <t>CHICKENBURGER DE FRANGO EMP CONG 100G</t>
  </si>
  <si>
    <t>CHICKENGGETS DE FGO EMP CONG 275G</t>
  </si>
  <si>
    <t>FIGADO CONG BANDEJA 1KG CX 18KG</t>
  </si>
  <si>
    <t>FILE COXA E SOBR SO SP CONG IQF 800G</t>
  </si>
  <si>
    <t>FILE TILAPIA IQF 800GR</t>
  </si>
  <si>
    <t>FILEZINHO FRANGO IQF ALM SEARA</t>
  </si>
  <si>
    <t>HAMBURGUER SABOR PICANHA</t>
  </si>
  <si>
    <t>LEITE UHT INTEGRAL C/TAMPA 1L 4146</t>
  </si>
  <si>
    <t>LINGUICA CONGELADA PARA CHURRASCO 5KG</t>
  </si>
  <si>
    <t>LINGUICA FGO FINA CONGELADA 700 G</t>
  </si>
  <si>
    <t>LINGUICA FRANGO DEFUMADA COPACOL 250G</t>
  </si>
  <si>
    <t>MEIO DAS ASAS CONGELADA IQF 800GR</t>
  </si>
  <si>
    <t>MIX VEGETAIS CONGELADO PT 300G SADIA</t>
  </si>
  <si>
    <t>PEITO FGO A PASS TEMP CONG IQF 800 G</t>
  </si>
  <si>
    <t>PETISCO DE FGO RAQUETE TEMP CONG 1 KG</t>
  </si>
  <si>
    <t>PITCHULA VIT LIMAO 250ML 15X1</t>
  </si>
  <si>
    <t>SALSICHA HOT DOG RESFRIADA 420G</t>
  </si>
  <si>
    <t>SASSAMI CONG BANDEJA 1KG CX 18KG</t>
  </si>
  <si>
    <t>SOBRECOXA CONG BANDEJA 1KG CX 18KG</t>
  </si>
  <si>
    <t>STICK DE TILAPIA EMPANADO CONG 1,5 KG</t>
  </si>
  <si>
    <t>VULCANO E D FIRE CITRUS 473ML LATA 4X6X1</t>
  </si>
  <si>
    <t>VULCANO ENERG DRINK WILD 2LT PET 6X1</t>
  </si>
  <si>
    <t>VULCANO ENERGY DRINK PLUS 2LT PET 6X1</t>
  </si>
  <si>
    <t>BEBIDA LACTEA UHT WHEY CHOCOLATE 12X250G</t>
  </si>
  <si>
    <t>BEBIDA LACTEA UHT WHEY MORANGO 12X250G</t>
  </si>
  <si>
    <t>BIRINIGHT ICE LIMAO 375ML 12X1</t>
  </si>
  <si>
    <t>CHICKEN SUPREME C/2 MOLHOS</t>
  </si>
  <si>
    <t>KETCHUP LANCHERO (BISNAGA) 24X400G</t>
  </si>
  <si>
    <t>KETCHUP LANCHERO (LITRO) 12X1,01KG</t>
  </si>
  <si>
    <t>KETCHUP LANCHERO (PET) 6X3KG</t>
  </si>
  <si>
    <t>LASANHA BOLON AIRFRYER 300G</t>
  </si>
  <si>
    <t>LASANHA BOLONHESA 600G RZ</t>
  </si>
  <si>
    <t>MAIONESE DMAIS 12X350G</t>
  </si>
  <si>
    <t>MAIONESE E. FINAS DMAIS (BISNAGA) 12X180</t>
  </si>
  <si>
    <t>MAIONESE LANCHERO (BAG) 6X3KG</t>
  </si>
  <si>
    <t>MAIONESE VERDE LANCHERO (KILO) 12X1KG</t>
  </si>
  <si>
    <t>MARG PRIMOR OR CS 12X500G</t>
  </si>
  <si>
    <t>MARG PRIMOR OR CS 24X250G</t>
  </si>
  <si>
    <t>MOLHO BARBECUE (PET) 6X3KG</t>
  </si>
  <si>
    <t>MOLHO BARBECUE (VIOLAO) 24X200G</t>
  </si>
  <si>
    <t>MOSTARDA LANCHERO (VIOLAO) 24X200G</t>
  </si>
  <si>
    <t>POLPA DE PEQUI IMPERADOR VD 260 G</t>
  </si>
  <si>
    <t>QUEIJO RALADO 40G</t>
  </si>
  <si>
    <t>SALAME SNACK LIMAO SADIA 36GR</t>
  </si>
  <si>
    <t>STEAK SEARA 7,2KG</t>
  </si>
  <si>
    <t>KETCHUP LANCHERO (SACHE) 16X150X7G</t>
  </si>
  <si>
    <t>MAIONESE LANCHERO (SACHE) 16X150X7G</t>
  </si>
  <si>
    <t>MOSTARDA LANCHERO (SACHE) 16X150X7G</t>
  </si>
  <si>
    <t>SAL REFINADO DMAIS (SACHE) 1000X0,8G</t>
  </si>
  <si>
    <t>ACHOCOLATADO EM PO 400 G CHOCKY ITALAC</t>
  </si>
  <si>
    <t>AZEITE EXT VIR PORT IMPERADOR 500 ML</t>
  </si>
  <si>
    <t>BEBIDA LACTEA UHT MORANGO 200 ML ITALAC (ITALAKINHO)</t>
  </si>
  <si>
    <t>BEBIDA LACTEA UHT WHEY BANANA 12X250G</t>
  </si>
  <si>
    <t>CREME DE LEITE UHT 200 G ITALAC</t>
  </si>
  <si>
    <t>CREME DE LEITE UHT 200 G ITALAC (10% DE GORDURA)</t>
  </si>
  <si>
    <t>CREME DE LEITE UHT ZERO LACTOSE 200 G ITALAC</t>
  </si>
  <si>
    <t>LEITE CONDENSADO 395 G ITALAC</t>
  </si>
  <si>
    <t>LEITE UHT DESNATADO C/TAMPA 1 L EDGE ITALAC</t>
  </si>
  <si>
    <t>MOLHO 4 QUEIJOS 200 G ITALAC</t>
  </si>
  <si>
    <t>MOLHO STROGONOFF 200 G ITALAC</t>
  </si>
  <si>
    <t>MORTADELA MISTA 1000G PERDIGAO</t>
  </si>
  <si>
    <t>CHICKEN EMPANADO 275G</t>
  </si>
  <si>
    <t>COXA FGO CONG. KG</t>
  </si>
  <si>
    <t>COXA/SOBRECOXA P DORSAL CONG PP</t>
  </si>
  <si>
    <t xml:space="preserve">FRANGO CONGELADO 20KG CX </t>
  </si>
  <si>
    <t>COXA E SOB DE FGO S/ OSSO TEMP CONG 1 KG</t>
  </si>
  <si>
    <t>ACHOCOLATADO EM PO POTE 400 G CHOCKY ITALAC</t>
  </si>
  <si>
    <t>AMENDOIM CROC CEBOL/SALSA 70G DORI</t>
  </si>
  <si>
    <t>AMENDOIM CROCANTE PIMENTA VERM 70G DORI</t>
  </si>
  <si>
    <t>AMENDOIM JAPONES 90G DORI</t>
  </si>
  <si>
    <t>BACON ESPECIAL PALETA 2 A 5KG</t>
  </si>
  <si>
    <t>BEBIDA LACTEA UHT CHOCOLATE 1 L CHOCKY ITALAC</t>
  </si>
  <si>
    <t>BEBIDA LACTEA UHT CHOCOLATE C/ TAMPA 1 L EDGE ITALAC</t>
  </si>
  <si>
    <t>BEBIDA LACTEA UHT CHOCOLATE ZERO LACTOSE 1 L EDGE ITALAC</t>
  </si>
  <si>
    <t>BEBIDA LACTEA UHT CHOCOLATE ZERO LACTOSE 200 ML ITALAC (ITAL</t>
  </si>
  <si>
    <t>CREAM CHEESE PURANATA BIS 1,2KGX6</t>
  </si>
  <si>
    <t>DOCE DE LEITE C COCO 400G</t>
  </si>
  <si>
    <t>FARINHA LACTEA 180 G ITALAC</t>
  </si>
  <si>
    <t>FILE COXA/SOBRECOXA CONG PP</t>
  </si>
  <si>
    <t>FILE DE PEITO EM BIFES IQF 800G</t>
  </si>
  <si>
    <t>GOIANINHO LARANJA 2,0 LTS 6X1 DP</t>
  </si>
  <si>
    <t>GOIANINHO UVA 2,0 LTS 6X1 DP</t>
  </si>
  <si>
    <t>KETCHUP LANCHERO (VIOLAO) 24X200G</t>
  </si>
  <si>
    <t>LASANHA BOLONHESA MENU GOURMET</t>
  </si>
  <si>
    <t>LEITE EM PO INTEGRAL INSTANTANEO LATA 400 G ITALAC</t>
  </si>
  <si>
    <t>LEITE UHT SEMIDESNATADO C/TAMPA 1 L EDGE ITALAC</t>
  </si>
  <si>
    <t>MAIONESE DMAIS (QUILO) 12X1KG</t>
  </si>
  <si>
    <t>MAIONESE ERVAS FINAS DMAIS 12X350G</t>
  </si>
  <si>
    <t>MANDIOCA 1 KG</t>
  </si>
  <si>
    <t>MIST. REQUEIJAO E GORD. PURANATA BISNAGA 1,8KGX8</t>
  </si>
  <si>
    <t>MIST. REQUEIJAO E GORD. SABOR CHEDDAR PURANATA BIS 1,2KGX8</t>
  </si>
  <si>
    <t>MIST. REQUEIJAO E GORD. SABOR CHEDDAR PURANATA BIS 250GX24</t>
  </si>
  <si>
    <t>MIST. REQUEIJAO E GORD. SABOR PROVOLONE PURANATA BIS 250GX24</t>
  </si>
  <si>
    <t>MISTURA PARA BOLO SABOR CENOURA 400 G ITALAC</t>
  </si>
  <si>
    <t>MOLHO DE PIMENTA (BISNAGA) 24X150ML</t>
  </si>
  <si>
    <t>MOLHO DE PIMENTA (LITRO) 12X1,01L</t>
  </si>
  <si>
    <t>MOLHO SALADA ROSE DMAIS 12X260ML</t>
  </si>
  <si>
    <t>MOLHO SHOYU SUNAKKU (BISNAGA)24X150ML</t>
  </si>
  <si>
    <t>NECTAR MARAC LFRUIT 350ML 12X1</t>
  </si>
  <si>
    <t>NECTAR MIST PESS E MACA LF 1L 8X1</t>
  </si>
  <si>
    <t>PE CONG</t>
  </si>
  <si>
    <t>PEITO FGO CONG. KG</t>
  </si>
  <si>
    <t>SALAME SNACK SWEET CHILLI SADIA 36GR</t>
  </si>
  <si>
    <t>ALHO INTEIRO DESCASCADO E CONG EASYCHEF 20X300GR</t>
  </si>
  <si>
    <t>ASA FGO CONG. KG</t>
  </si>
  <si>
    <t>BATATA CONG. DELLYFRIES 8X1,5KG</t>
  </si>
  <si>
    <t>BATATA CONG. EASYCHEF 6X2KG</t>
  </si>
  <si>
    <t>BATATA CONG. PROFESSIONAL EASYCHEF CRINKLE 6X2KG</t>
  </si>
  <si>
    <t>CALABRESA FRESCAL 600G CARACOL</t>
  </si>
  <si>
    <t>COXA/SOB. FGO CONG. KG</t>
  </si>
  <si>
    <t>FILE DE PEITO DE FGO IQF 800G</t>
  </si>
  <si>
    <t>FILE DE TILAPIA I.Q.F</t>
  </si>
  <si>
    <t>MAIONESE SOYA REG PET 12X500G</t>
  </si>
  <si>
    <t>MISTURA DE REQUEIJÃO PURANATA COPO 200G  LIGHT CX C/ 24UNID</t>
  </si>
  <si>
    <t>MIX DE VEGETAIS CONG. EASYCHEF 20X300GR</t>
  </si>
  <si>
    <t>MORANGO INTEIRO CONG. EASYCHEF 20X300GR</t>
  </si>
  <si>
    <t>GALINHA CONGELADA COM MIUDOS</t>
  </si>
  <si>
    <t>BEBIDA LACTEA UHT CHOCOLATE 200 ML ITALAC (ITALAKINHO)</t>
  </si>
  <si>
    <t>BEBIDA LACTEA UHT MIX DE FRUTAS 200 ML ITALAC (ITALAKINHO)</t>
  </si>
  <si>
    <t>LEITE EM PO INTEGRAL 400 G ITALAC</t>
  </si>
  <si>
    <t>MISTURA PARA BOLO SABOR COCO 400 G ITALAC</t>
  </si>
  <si>
    <t>LINGUICA PEROLA CALABRESA DEFUMADA (1,8KG)</t>
  </si>
  <si>
    <t>CHOC KIT KAT AO LEITE 41,5G NESTLE</t>
  </si>
  <si>
    <t>CORACAO - MIUDOS CONGELADOS DE FRANGO</t>
  </si>
  <si>
    <t>COXA E SOBRECOXA</t>
  </si>
  <si>
    <t>COXA/SOB. S/OSSO FGO CONG. KG</t>
  </si>
  <si>
    <t>DOCE DE LEITE 350 G ITALAC</t>
  </si>
  <si>
    <t>FILE DE PEITO SEM SASSAMI - CARNE CONG DE FRANGO SEM OSSO</t>
  </si>
  <si>
    <t>FILEZINHO (SASSAMI) - IQF 700GR</t>
  </si>
  <si>
    <t>ANEL DE CEBOLA EMPANADO FR 1.100 KG</t>
  </si>
  <si>
    <t>BIRINIGHT ICE LIMAO 2 LT 6X1</t>
  </si>
  <si>
    <t>CAMARAO EMPANADO IQF 300G</t>
  </si>
  <si>
    <t>COXA E SOBRECOXA COM PORCAO DORSAL E SAMBIQUIRA</t>
  </si>
  <si>
    <t>LEITE CONDENSADO TRADICIONAL 270 G ITALAC</t>
  </si>
  <si>
    <t>LINGUICA DEFUMADA REZENDE</t>
  </si>
  <si>
    <t>LINGUICA FRIGOLDEN SUINA 1KG</t>
  </si>
  <si>
    <t>MARG DELICIA CS 12X1KG</t>
  </si>
  <si>
    <t>MIST. REQUEIJAO E GORD. B.PIZZA BISNAGA 1,8KGX8</t>
  </si>
  <si>
    <t>MISTURA DE REQUEIJAO COPO 200G TRAD.</t>
  </si>
  <si>
    <t>MOELA FRANGO CG BDJ SEARA</t>
  </si>
  <si>
    <t>NECTAR MIST UVA E MACA LG LF 1L 8X1</t>
  </si>
  <si>
    <t>STRANGER PIZZA PEPPERONI SEARA</t>
  </si>
  <si>
    <t>VULCANO ENERG DRINK SF 473ML LATA 4X6X1</t>
  </si>
  <si>
    <t>FILE DE COXA E SOBRECOXA SEM OSSO COM PELE</t>
  </si>
  <si>
    <t>FILEZINHO (SASSAMI) FGO IQF 800 GR</t>
  </si>
  <si>
    <t>FILEZINHO DE FGO TEMP. EMPANADO 1,5KG</t>
  </si>
  <si>
    <t>FILEZINHO SASSAMI - CARNE CONGELADA DE FRANGO SEM OSSO</t>
  </si>
  <si>
    <t>LASANHA FACIL 12X500G</t>
  </si>
  <si>
    <t>LEITE EM PO INTEGRAL 1 KG ITALAC</t>
  </si>
  <si>
    <t>MANT. GAR. POTE 9X200G SELETTO - EAN: 7908059900506</t>
  </si>
  <si>
    <t>MASSA P/PASTEL-ROLO 12X500G</t>
  </si>
  <si>
    <t>MIST. REQUEIJAO E GORD. PURANATA BISNAGA S.O 1,8KGX8</t>
  </si>
  <si>
    <t>MISTURA PARA BOLO SABOR CHOCOLATE 400 G ITALAC</t>
  </si>
  <si>
    <t>MISTURA PARA BOLO SABOR LARANJA 400 G ITALAC</t>
  </si>
  <si>
    <t>MISTURA PARA BOLO TIPO BROWNIE 400 G ITALAC</t>
  </si>
  <si>
    <t>NHOQUE 12X500G</t>
  </si>
  <si>
    <t>PASTEL APERITIVO CARNE 12X250G</t>
  </si>
  <si>
    <t>PASTEL ROLO 14X350G</t>
  </si>
  <si>
    <t>PIZZA BROTINHO 12X300G</t>
  </si>
  <si>
    <t>QUEIJO RALADO 20 X 40 G ITALAC</t>
  </si>
  <si>
    <t>REQ CREMOSO PURANATA BISNAGA 250GX12</t>
  </si>
  <si>
    <t>MASSA P/ PASTEL DISCAO 12X500G</t>
  </si>
  <si>
    <t>MASSA P/ PASTEL DISQUINHO 12X400G</t>
  </si>
  <si>
    <t>PASTA ALHO PAO 24X200G SEARA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</si>
</sst>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 applyProtection="1">
      <protection locked="0"/>
    </xf>
    <xf numFmtId="0" fontId="2" fillId="4" borderId="1" xfId="0" applyFont="1" applyFill="1" applyBorder="1"/>
    <xf numFmtId="0" fontId="2" fillId="3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0" fontId="3" fillId="0" borderId="2" xfId="0" applyFont="1" applyBorder="1" applyProtection="1">
      <protection locked="0"/>
    </xf>
    <xf numFmtId="0" fontId="0" fillId="0" borderId="0" xfId="0" applyFill="1" applyProtection="1">
      <protection locked="0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C166-A477-432E-9ADA-4E876474F244}">
  <dimension ref="A1:E1297"/>
  <sheetViews>
    <sheetView tabSelected="1" workbookViewId="0"/>
  </sheetViews>
  <sheetFormatPr defaultRowHeight="15" x14ac:dyDescent="0.25"/>
  <cols>
    <col min="1" max="1" width="12.7109375" style="8" bestFit="1" customWidth="1"/>
    <col min="2" max="2" width="13.140625" style="8" bestFit="1" customWidth="1"/>
    <col min="3" max="3" width="49.85546875" style="8" customWidth="1"/>
    <col min="4" max="4" width="15.7109375" style="8" bestFit="1" customWidth="1"/>
    <col min="5" max="5" width="9.140625" style="9"/>
  </cols>
  <sheetData>
    <row r="1" spans="1:5" x14ac:dyDescent="0.25">
      <c r="A1" s="1" t="s">
        <v>0</v>
      </c>
      <c r="B1" s="2" t="s">
        <v>1</v>
      </c>
      <c r="C1" s="1" t="s">
        <v>2</v>
      </c>
      <c r="D1" s="2" t="s">
        <v>3</v>
      </c>
      <c r="E1"/>
    </row>
    <row r="2" spans="1:5" x14ac:dyDescent="0.25">
      <c r="A2" s="3">
        <v>1374</v>
      </c>
      <c r="B2" s="4">
        <v>12</v>
      </c>
      <c r="C2" s="3" t="s">
        <v>4</v>
      </c>
      <c r="D2" s="4">
        <v>1</v>
      </c>
      <c r="E2"/>
    </row>
    <row r="3" spans="1:5" x14ac:dyDescent="0.25">
      <c r="A3" s="3">
        <v>1583</v>
      </c>
      <c r="B3" s="4">
        <v>12</v>
      </c>
      <c r="C3" s="3" t="s">
        <v>5</v>
      </c>
      <c r="D3" s="4"/>
      <c r="E3"/>
    </row>
    <row r="4" spans="1:5" x14ac:dyDescent="0.25">
      <c r="A4" s="3">
        <v>1658</v>
      </c>
      <c r="B4" s="4">
        <v>15</v>
      </c>
      <c r="C4" s="3" t="s">
        <v>6</v>
      </c>
      <c r="D4" s="4">
        <v>2.5</v>
      </c>
      <c r="E4"/>
    </row>
    <row r="5" spans="1:5" x14ac:dyDescent="0.25">
      <c r="A5" s="3">
        <v>1267</v>
      </c>
      <c r="B5" s="4">
        <v>24</v>
      </c>
      <c r="C5" s="3" t="s">
        <v>7</v>
      </c>
      <c r="D5" s="4">
        <v>1</v>
      </c>
      <c r="E5"/>
    </row>
    <row r="6" spans="1:5" x14ac:dyDescent="0.25">
      <c r="A6" s="3">
        <v>1856</v>
      </c>
      <c r="B6" s="4">
        <v>24</v>
      </c>
      <c r="C6" s="3" t="s">
        <v>8</v>
      </c>
      <c r="D6" s="4">
        <v>1</v>
      </c>
      <c r="E6"/>
    </row>
    <row r="7" spans="1:5" x14ac:dyDescent="0.25">
      <c r="A7" s="3">
        <v>1550</v>
      </c>
      <c r="B7" s="4">
        <v>15</v>
      </c>
      <c r="C7" s="3" t="s">
        <v>9</v>
      </c>
      <c r="D7" s="4"/>
      <c r="E7"/>
    </row>
    <row r="8" spans="1:5" x14ac:dyDescent="0.25">
      <c r="A8" s="3">
        <v>1197</v>
      </c>
      <c r="B8" s="4">
        <v>3</v>
      </c>
      <c r="C8" s="3" t="s">
        <v>10</v>
      </c>
      <c r="D8" s="4"/>
      <c r="E8"/>
    </row>
    <row r="9" spans="1:5" x14ac:dyDescent="0.25">
      <c r="A9" s="3">
        <v>1667</v>
      </c>
      <c r="B9" s="4">
        <v>15</v>
      </c>
      <c r="C9" s="3" t="s">
        <v>11</v>
      </c>
      <c r="D9" s="4">
        <v>3.5</v>
      </c>
      <c r="E9"/>
    </row>
    <row r="10" spans="1:5" x14ac:dyDescent="0.25">
      <c r="A10" s="3">
        <v>1676</v>
      </c>
      <c r="B10" s="4">
        <v>3</v>
      </c>
      <c r="C10" s="3" t="s">
        <v>12</v>
      </c>
      <c r="D10" s="4"/>
      <c r="E10"/>
    </row>
    <row r="11" spans="1:5" x14ac:dyDescent="0.25">
      <c r="A11" s="3">
        <v>1644</v>
      </c>
      <c r="B11" s="4">
        <v>3</v>
      </c>
      <c r="C11" s="3" t="s">
        <v>13</v>
      </c>
      <c r="D11" s="4"/>
      <c r="E11"/>
    </row>
    <row r="12" spans="1:5" x14ac:dyDescent="0.25">
      <c r="A12" s="3">
        <v>1619</v>
      </c>
      <c r="B12" s="4">
        <v>15.72</v>
      </c>
      <c r="C12" s="3" t="s">
        <v>14</v>
      </c>
      <c r="D12" s="4">
        <f>15.72/6</f>
        <v>2.62</v>
      </c>
      <c r="E12"/>
    </row>
    <row r="13" spans="1:5" x14ac:dyDescent="0.25">
      <c r="A13" s="3">
        <v>1750</v>
      </c>
      <c r="B13" s="4">
        <v>7.6</v>
      </c>
      <c r="C13" s="3" t="s">
        <v>15</v>
      </c>
      <c r="D13" s="4">
        <f>7.6/2</f>
        <v>3.8</v>
      </c>
      <c r="E13"/>
    </row>
    <row r="14" spans="1:5" x14ac:dyDescent="0.25">
      <c r="A14" s="3">
        <v>1610</v>
      </c>
      <c r="B14" s="4">
        <v>7</v>
      </c>
      <c r="C14" s="3" t="s">
        <v>16</v>
      </c>
      <c r="D14" s="4"/>
      <c r="E14"/>
    </row>
    <row r="15" spans="1:5" x14ac:dyDescent="0.25">
      <c r="A15" s="3">
        <v>1574</v>
      </c>
      <c r="B15" s="4">
        <v>7</v>
      </c>
      <c r="C15" s="3" t="s">
        <v>17</v>
      </c>
      <c r="D15" s="4"/>
      <c r="E15"/>
    </row>
    <row r="16" spans="1:5" x14ac:dyDescent="0.25">
      <c r="A16" s="3">
        <v>1014</v>
      </c>
      <c r="B16" s="4">
        <v>15</v>
      </c>
      <c r="C16" s="3" t="s">
        <v>18</v>
      </c>
      <c r="D16" s="4">
        <v>3.75</v>
      </c>
      <c r="E16"/>
    </row>
    <row r="17" spans="1:5" x14ac:dyDescent="0.25">
      <c r="A17" s="3">
        <v>1201</v>
      </c>
      <c r="B17" s="4">
        <v>15</v>
      </c>
      <c r="C17" s="3" t="s">
        <v>19</v>
      </c>
      <c r="D17" s="4">
        <v>3.75</v>
      </c>
      <c r="E17"/>
    </row>
    <row r="18" spans="1:5" x14ac:dyDescent="0.25">
      <c r="A18" s="3">
        <v>1235</v>
      </c>
      <c r="B18" s="4">
        <v>8</v>
      </c>
      <c r="C18" s="3" t="s">
        <v>20</v>
      </c>
      <c r="D18" s="4">
        <v>1</v>
      </c>
      <c r="E18"/>
    </row>
    <row r="19" spans="1:5" x14ac:dyDescent="0.25">
      <c r="A19" s="3">
        <v>1061</v>
      </c>
      <c r="B19" s="4">
        <v>8</v>
      </c>
      <c r="C19" s="3" t="s">
        <v>21</v>
      </c>
      <c r="D19" s="4">
        <v>1</v>
      </c>
      <c r="E19"/>
    </row>
    <row r="20" spans="1:5" x14ac:dyDescent="0.25">
      <c r="A20" s="3">
        <v>1611</v>
      </c>
      <c r="B20" s="4">
        <v>12</v>
      </c>
      <c r="C20" s="3" t="s">
        <v>22</v>
      </c>
      <c r="D20" s="4">
        <v>1</v>
      </c>
      <c r="E20"/>
    </row>
    <row r="21" spans="1:5" x14ac:dyDescent="0.25">
      <c r="A21" s="3">
        <v>1104</v>
      </c>
      <c r="B21" s="4">
        <v>8</v>
      </c>
      <c r="C21" s="3" t="s">
        <v>23</v>
      </c>
      <c r="D21" s="4">
        <v>1</v>
      </c>
      <c r="E21"/>
    </row>
    <row r="22" spans="1:5" x14ac:dyDescent="0.25">
      <c r="A22" s="3">
        <v>1491</v>
      </c>
      <c r="B22" s="4">
        <v>12</v>
      </c>
      <c r="C22" s="3" t="s">
        <v>24</v>
      </c>
      <c r="D22" s="4">
        <v>1</v>
      </c>
      <c r="E22"/>
    </row>
    <row r="23" spans="1:5" x14ac:dyDescent="0.25">
      <c r="A23" s="3">
        <v>1074</v>
      </c>
      <c r="B23" s="4">
        <v>18</v>
      </c>
      <c r="C23" s="3" t="s">
        <v>25</v>
      </c>
      <c r="D23" s="4"/>
      <c r="E23"/>
    </row>
    <row r="24" spans="1:5" x14ac:dyDescent="0.25">
      <c r="A24" s="3">
        <v>1814</v>
      </c>
      <c r="B24" s="4">
        <v>12</v>
      </c>
      <c r="C24" s="3" t="s">
        <v>26</v>
      </c>
      <c r="D24" s="4">
        <v>1</v>
      </c>
      <c r="E24"/>
    </row>
    <row r="25" spans="1:5" x14ac:dyDescent="0.25">
      <c r="A25" s="3">
        <v>1845</v>
      </c>
      <c r="B25" s="4">
        <v>20</v>
      </c>
      <c r="C25" s="3" t="s">
        <v>27</v>
      </c>
      <c r="D25" s="4"/>
      <c r="E25"/>
    </row>
    <row r="26" spans="1:5" x14ac:dyDescent="0.25">
      <c r="A26" s="3">
        <v>1216</v>
      </c>
      <c r="B26" s="4">
        <v>20</v>
      </c>
      <c r="C26" s="3" t="s">
        <v>28</v>
      </c>
      <c r="D26" s="4"/>
      <c r="E26"/>
    </row>
    <row r="27" spans="1:5" x14ac:dyDescent="0.25">
      <c r="A27" s="3">
        <v>1116</v>
      </c>
      <c r="B27" s="4">
        <v>12</v>
      </c>
      <c r="C27" s="3" t="s">
        <v>29</v>
      </c>
      <c r="D27" s="4"/>
      <c r="E27"/>
    </row>
    <row r="28" spans="1:5" x14ac:dyDescent="0.25">
      <c r="A28" s="3">
        <v>1759</v>
      </c>
      <c r="B28" s="4">
        <v>12</v>
      </c>
      <c r="C28" s="3" t="s">
        <v>30</v>
      </c>
      <c r="D28" s="4">
        <v>1</v>
      </c>
      <c r="E28"/>
    </row>
    <row r="29" spans="1:5" x14ac:dyDescent="0.25">
      <c r="A29" s="3">
        <v>1055</v>
      </c>
      <c r="B29" s="4">
        <v>18</v>
      </c>
      <c r="C29" s="3" t="s">
        <v>31</v>
      </c>
      <c r="D29" s="4"/>
      <c r="E29"/>
    </row>
    <row r="30" spans="1:5" x14ac:dyDescent="0.25">
      <c r="A30" s="3">
        <v>1535</v>
      </c>
      <c r="B30" s="4">
        <v>12</v>
      </c>
      <c r="C30" s="3" t="s">
        <v>32</v>
      </c>
      <c r="D30" s="4">
        <v>1</v>
      </c>
      <c r="E30"/>
    </row>
    <row r="31" spans="1:5" x14ac:dyDescent="0.25">
      <c r="A31" s="3">
        <v>1601</v>
      </c>
      <c r="B31" s="4">
        <v>12</v>
      </c>
      <c r="C31" s="3" t="s">
        <v>32</v>
      </c>
      <c r="D31" s="4">
        <v>1</v>
      </c>
      <c r="E31"/>
    </row>
    <row r="32" spans="1:5" x14ac:dyDescent="0.25">
      <c r="A32" s="3">
        <v>1418</v>
      </c>
      <c r="B32" s="4">
        <v>20</v>
      </c>
      <c r="C32" s="3" t="s">
        <v>33</v>
      </c>
      <c r="D32" s="4"/>
      <c r="E32"/>
    </row>
    <row r="33" spans="1:5" x14ac:dyDescent="0.25">
      <c r="A33" s="3">
        <v>1807</v>
      </c>
      <c r="B33" s="4">
        <v>20</v>
      </c>
      <c r="C33" s="3" t="s">
        <v>34</v>
      </c>
      <c r="D33" s="4"/>
      <c r="E33"/>
    </row>
    <row r="34" spans="1:5" x14ac:dyDescent="0.25">
      <c r="A34" s="3">
        <v>1906</v>
      </c>
      <c r="B34" s="4">
        <v>20</v>
      </c>
      <c r="C34" s="3" t="s">
        <v>35</v>
      </c>
      <c r="D34" s="4"/>
      <c r="E34"/>
    </row>
    <row r="35" spans="1:5" x14ac:dyDescent="0.25">
      <c r="A35" s="3">
        <v>1148</v>
      </c>
      <c r="B35" s="4">
        <v>15</v>
      </c>
      <c r="C35" s="3" t="s">
        <v>36</v>
      </c>
      <c r="D35" s="4"/>
      <c r="E35"/>
    </row>
    <row r="36" spans="1:5" x14ac:dyDescent="0.25">
      <c r="A36" s="3">
        <v>1810</v>
      </c>
      <c r="B36" s="4">
        <v>12</v>
      </c>
      <c r="C36" s="3" t="s">
        <v>37</v>
      </c>
      <c r="D36" s="4"/>
      <c r="E36"/>
    </row>
    <row r="37" spans="1:5" x14ac:dyDescent="0.25">
      <c r="A37" s="3">
        <v>1636</v>
      </c>
      <c r="B37" s="4">
        <v>10</v>
      </c>
      <c r="C37" s="3" t="s">
        <v>38</v>
      </c>
      <c r="D37" s="4">
        <v>2.5</v>
      </c>
      <c r="E37"/>
    </row>
    <row r="38" spans="1:5" x14ac:dyDescent="0.25">
      <c r="A38" s="3">
        <v>1627</v>
      </c>
      <c r="B38" s="4">
        <v>13</v>
      </c>
      <c r="C38" s="3" t="s">
        <v>39</v>
      </c>
      <c r="D38" s="4"/>
      <c r="E38"/>
    </row>
    <row r="39" spans="1:5" x14ac:dyDescent="0.25">
      <c r="A39" s="3">
        <v>1808</v>
      </c>
      <c r="B39" s="4">
        <v>6</v>
      </c>
      <c r="C39" s="3" t="s">
        <v>40</v>
      </c>
      <c r="D39" s="4"/>
      <c r="E39"/>
    </row>
    <row r="40" spans="1:5" x14ac:dyDescent="0.25">
      <c r="A40" s="3">
        <v>1203</v>
      </c>
      <c r="B40" s="4">
        <v>9</v>
      </c>
      <c r="C40" s="3" t="s">
        <v>41</v>
      </c>
      <c r="D40" s="4">
        <v>1</v>
      </c>
      <c r="E40"/>
    </row>
    <row r="41" spans="1:5" x14ac:dyDescent="0.25">
      <c r="A41" s="3">
        <v>1367</v>
      </c>
      <c r="B41" s="4">
        <v>15</v>
      </c>
      <c r="C41" s="3" t="s">
        <v>42</v>
      </c>
      <c r="D41" s="4"/>
      <c r="E41"/>
    </row>
    <row r="42" spans="1:5" x14ac:dyDescent="0.25">
      <c r="A42" s="3">
        <v>1186</v>
      </c>
      <c r="B42" s="4">
        <v>10</v>
      </c>
      <c r="C42" s="3" t="s">
        <v>43</v>
      </c>
      <c r="D42" s="4"/>
      <c r="E42"/>
    </row>
    <row r="43" spans="1:5" x14ac:dyDescent="0.25">
      <c r="A43" s="3">
        <v>1596</v>
      </c>
      <c r="B43" s="4">
        <v>10</v>
      </c>
      <c r="C43" s="3" t="s">
        <v>43</v>
      </c>
      <c r="D43" s="4"/>
      <c r="E43"/>
    </row>
    <row r="44" spans="1:5" x14ac:dyDescent="0.25">
      <c r="A44" s="3">
        <v>1705</v>
      </c>
      <c r="B44" s="4">
        <v>13</v>
      </c>
      <c r="C44" s="3" t="s">
        <v>44</v>
      </c>
      <c r="D44" s="4"/>
      <c r="E44"/>
    </row>
    <row r="45" spans="1:5" x14ac:dyDescent="0.25">
      <c r="A45" s="3">
        <v>1225</v>
      </c>
      <c r="B45" s="4">
        <v>12</v>
      </c>
      <c r="C45" s="3" t="s">
        <v>45</v>
      </c>
      <c r="D45" s="4"/>
      <c r="E45"/>
    </row>
    <row r="46" spans="1:5" x14ac:dyDescent="0.25">
      <c r="A46" s="3">
        <v>1366</v>
      </c>
      <c r="B46" s="4">
        <v>15</v>
      </c>
      <c r="C46" s="3" t="s">
        <v>46</v>
      </c>
      <c r="D46" s="4"/>
      <c r="E46"/>
    </row>
    <row r="47" spans="1:5" x14ac:dyDescent="0.25">
      <c r="A47" s="3">
        <v>1749</v>
      </c>
      <c r="B47" s="4">
        <v>10</v>
      </c>
      <c r="C47" s="3" t="s">
        <v>47</v>
      </c>
      <c r="D47" s="4">
        <v>5</v>
      </c>
      <c r="E47"/>
    </row>
    <row r="48" spans="1:5" x14ac:dyDescent="0.25">
      <c r="A48" s="3">
        <v>1379</v>
      </c>
      <c r="B48" s="4">
        <v>14</v>
      </c>
      <c r="C48" s="3" t="s">
        <v>48</v>
      </c>
      <c r="D48" s="4"/>
      <c r="E48"/>
    </row>
    <row r="49" spans="1:5" x14ac:dyDescent="0.25">
      <c r="A49" s="3">
        <v>1335</v>
      </c>
      <c r="B49" s="4">
        <v>14</v>
      </c>
      <c r="C49" s="3" t="s">
        <v>49</v>
      </c>
      <c r="D49" s="4"/>
      <c r="E49"/>
    </row>
    <row r="50" spans="1:5" x14ac:dyDescent="0.25">
      <c r="A50" s="3">
        <v>1310</v>
      </c>
      <c r="B50" s="4">
        <v>14</v>
      </c>
      <c r="C50" s="3" t="s">
        <v>50</v>
      </c>
      <c r="D50" s="4">
        <v>1</v>
      </c>
      <c r="E50"/>
    </row>
    <row r="51" spans="1:5" x14ac:dyDescent="0.25">
      <c r="A51" s="3">
        <v>1378</v>
      </c>
      <c r="B51" s="4">
        <v>14</v>
      </c>
      <c r="C51" s="3" t="s">
        <v>51</v>
      </c>
      <c r="D51" s="4"/>
      <c r="E51"/>
    </row>
    <row r="52" spans="1:5" x14ac:dyDescent="0.25">
      <c r="A52" s="3">
        <v>1309</v>
      </c>
      <c r="B52" s="4">
        <v>14</v>
      </c>
      <c r="C52" s="3" t="s">
        <v>52</v>
      </c>
      <c r="D52" s="4">
        <v>1</v>
      </c>
      <c r="E52"/>
    </row>
    <row r="53" spans="1:5" x14ac:dyDescent="0.25">
      <c r="A53" s="3">
        <v>1311</v>
      </c>
      <c r="B53" s="4">
        <v>14</v>
      </c>
      <c r="C53" s="3" t="s">
        <v>53</v>
      </c>
      <c r="D53" s="4"/>
      <c r="E53"/>
    </row>
    <row r="54" spans="1:5" x14ac:dyDescent="0.25">
      <c r="A54" s="3">
        <v>1695</v>
      </c>
      <c r="B54" s="4">
        <v>14</v>
      </c>
      <c r="C54" s="3" t="s">
        <v>54</v>
      </c>
      <c r="D54" s="4"/>
      <c r="E54"/>
    </row>
    <row r="55" spans="1:5" x14ac:dyDescent="0.25">
      <c r="A55" s="3">
        <v>1618</v>
      </c>
      <c r="B55" s="4">
        <v>18</v>
      </c>
      <c r="C55" s="3" t="s">
        <v>55</v>
      </c>
      <c r="D55" s="4">
        <v>1</v>
      </c>
      <c r="E55"/>
    </row>
    <row r="56" spans="1:5" x14ac:dyDescent="0.25">
      <c r="A56" s="3">
        <v>1643</v>
      </c>
      <c r="B56" s="4">
        <v>12</v>
      </c>
      <c r="C56" s="3" t="s">
        <v>56</v>
      </c>
      <c r="D56" s="4">
        <v>1</v>
      </c>
      <c r="E56"/>
    </row>
    <row r="57" spans="1:5" x14ac:dyDescent="0.25">
      <c r="A57" s="3">
        <v>1844</v>
      </c>
      <c r="B57" s="4">
        <v>20</v>
      </c>
      <c r="C57" s="3" t="s">
        <v>57</v>
      </c>
      <c r="D57" s="4"/>
      <c r="E57"/>
    </row>
    <row r="58" spans="1:5" x14ac:dyDescent="0.25">
      <c r="A58" s="3">
        <v>1892</v>
      </c>
      <c r="B58" s="4">
        <v>10</v>
      </c>
      <c r="C58" s="3" t="s">
        <v>58</v>
      </c>
      <c r="D58" s="4">
        <v>2</v>
      </c>
      <c r="E58"/>
    </row>
    <row r="59" spans="1:5" x14ac:dyDescent="0.25">
      <c r="A59" s="3">
        <v>1817</v>
      </c>
      <c r="B59" s="4">
        <v>10</v>
      </c>
      <c r="C59" s="3" t="s">
        <v>59</v>
      </c>
      <c r="D59" s="4">
        <v>2</v>
      </c>
      <c r="E59"/>
    </row>
    <row r="60" spans="1:5" x14ac:dyDescent="0.25">
      <c r="A60" s="3">
        <v>1891</v>
      </c>
      <c r="B60" s="4">
        <v>10</v>
      </c>
      <c r="C60" s="3" t="s">
        <v>60</v>
      </c>
      <c r="D60" s="4">
        <v>0.4</v>
      </c>
      <c r="E60"/>
    </row>
    <row r="61" spans="1:5" x14ac:dyDescent="0.25">
      <c r="A61" s="3">
        <v>1214</v>
      </c>
      <c r="B61" s="4">
        <v>10</v>
      </c>
      <c r="C61" s="3" t="s">
        <v>61</v>
      </c>
      <c r="D61" s="4"/>
      <c r="E61"/>
    </row>
    <row r="62" spans="1:5" x14ac:dyDescent="0.25">
      <c r="A62" s="3">
        <v>1819</v>
      </c>
      <c r="B62" s="4">
        <v>10</v>
      </c>
      <c r="C62" s="3" t="s">
        <v>62</v>
      </c>
      <c r="D62" s="4">
        <v>2</v>
      </c>
      <c r="E62"/>
    </row>
    <row r="63" spans="1:5" x14ac:dyDescent="0.25">
      <c r="A63" s="3">
        <v>1258</v>
      </c>
      <c r="B63" s="4">
        <v>12.5</v>
      </c>
      <c r="C63" s="3" t="s">
        <v>63</v>
      </c>
      <c r="D63" s="4">
        <v>2.5</v>
      </c>
      <c r="E63"/>
    </row>
    <row r="64" spans="1:5" x14ac:dyDescent="0.25">
      <c r="A64" s="3">
        <v>1502</v>
      </c>
      <c r="B64" s="4">
        <v>12</v>
      </c>
      <c r="C64" s="3" t="s">
        <v>64</v>
      </c>
      <c r="D64" s="4">
        <v>0.4</v>
      </c>
      <c r="E64"/>
    </row>
    <row r="65" spans="1:5" x14ac:dyDescent="0.25">
      <c r="A65" s="3">
        <v>1016</v>
      </c>
      <c r="B65" s="4">
        <v>12</v>
      </c>
      <c r="C65" s="3" t="s">
        <v>65</v>
      </c>
      <c r="D65" s="4"/>
      <c r="E65"/>
    </row>
    <row r="66" spans="1:5" x14ac:dyDescent="0.25">
      <c r="A66" s="3">
        <v>1486</v>
      </c>
      <c r="B66" s="4">
        <v>12</v>
      </c>
      <c r="C66" s="3" t="s">
        <v>66</v>
      </c>
      <c r="D66" s="4"/>
      <c r="E66"/>
    </row>
    <row r="67" spans="1:5" x14ac:dyDescent="0.25">
      <c r="A67" s="3">
        <v>1623</v>
      </c>
      <c r="B67" s="4">
        <v>13</v>
      </c>
      <c r="C67" s="3" t="s">
        <v>67</v>
      </c>
      <c r="D67" s="4"/>
      <c r="E67"/>
    </row>
    <row r="68" spans="1:5" x14ac:dyDescent="0.25">
      <c r="A68" s="3">
        <v>1147</v>
      </c>
      <c r="B68" s="4">
        <v>14</v>
      </c>
      <c r="C68" s="3" t="s">
        <v>68</v>
      </c>
      <c r="D68" s="4"/>
      <c r="E68"/>
    </row>
    <row r="69" spans="1:5" x14ac:dyDescent="0.25">
      <c r="A69" s="3">
        <v>1661</v>
      </c>
      <c r="B69" s="4">
        <v>27</v>
      </c>
      <c r="C69" s="3" t="s">
        <v>69</v>
      </c>
      <c r="D69" s="4">
        <v>1</v>
      </c>
      <c r="E69"/>
    </row>
    <row r="70" spans="1:5" x14ac:dyDescent="0.25">
      <c r="A70" s="3">
        <v>1852</v>
      </c>
      <c r="B70" s="4">
        <v>5</v>
      </c>
      <c r="C70" s="3" t="s">
        <v>70</v>
      </c>
      <c r="D70" s="4"/>
      <c r="E70"/>
    </row>
    <row r="71" spans="1:5" x14ac:dyDescent="0.25">
      <c r="A71" s="3">
        <v>1836</v>
      </c>
      <c r="B71" s="4">
        <v>5</v>
      </c>
      <c r="C71" s="3" t="s">
        <v>71</v>
      </c>
      <c r="D71" s="4"/>
      <c r="E71"/>
    </row>
    <row r="72" spans="1:5" x14ac:dyDescent="0.25">
      <c r="A72" s="3">
        <v>1564</v>
      </c>
      <c r="B72" s="4">
        <v>3.5</v>
      </c>
      <c r="C72" s="3" t="s">
        <v>72</v>
      </c>
      <c r="D72" s="4"/>
      <c r="E72"/>
    </row>
    <row r="73" spans="1:5" x14ac:dyDescent="0.25">
      <c r="A73" s="3">
        <v>1855</v>
      </c>
      <c r="B73" s="4">
        <v>15</v>
      </c>
      <c r="C73" s="3" t="s">
        <v>73</v>
      </c>
      <c r="D73" s="4"/>
      <c r="E73"/>
    </row>
    <row r="74" spans="1:5" x14ac:dyDescent="0.25">
      <c r="A74" s="3">
        <v>1902</v>
      </c>
      <c r="B74" s="4">
        <v>17.88</v>
      </c>
      <c r="C74" s="3" t="s">
        <v>74</v>
      </c>
      <c r="D74" s="4"/>
      <c r="E74"/>
    </row>
    <row r="75" spans="1:5" x14ac:dyDescent="0.25">
      <c r="A75" s="3">
        <v>1161</v>
      </c>
      <c r="B75" s="4">
        <v>16</v>
      </c>
      <c r="C75" s="3" t="s">
        <v>75</v>
      </c>
      <c r="D75" s="4"/>
      <c r="E75"/>
    </row>
    <row r="76" spans="1:5" x14ac:dyDescent="0.25">
      <c r="A76" s="3">
        <v>1338</v>
      </c>
      <c r="B76" s="4">
        <v>4.5</v>
      </c>
      <c r="C76" s="3" t="s">
        <v>76</v>
      </c>
      <c r="D76" s="4"/>
      <c r="E76"/>
    </row>
    <row r="77" spans="1:5" x14ac:dyDescent="0.25">
      <c r="A77" s="3">
        <v>1349</v>
      </c>
      <c r="B77" s="4">
        <v>4.5</v>
      </c>
      <c r="C77" s="3" t="s">
        <v>76</v>
      </c>
      <c r="D77" s="4"/>
      <c r="E77"/>
    </row>
    <row r="78" spans="1:5" x14ac:dyDescent="0.25">
      <c r="A78" s="3">
        <v>1597</v>
      </c>
      <c r="B78" s="4">
        <v>4.5</v>
      </c>
      <c r="C78" s="3" t="s">
        <v>76</v>
      </c>
      <c r="D78" s="4"/>
      <c r="E78"/>
    </row>
    <row r="79" spans="1:5" x14ac:dyDescent="0.25">
      <c r="A79" s="3">
        <v>1312</v>
      </c>
      <c r="B79" s="4">
        <v>4.5</v>
      </c>
      <c r="C79" s="3" t="s">
        <v>77</v>
      </c>
      <c r="D79" s="4"/>
      <c r="E79"/>
    </row>
    <row r="80" spans="1:5" x14ac:dyDescent="0.25">
      <c r="A80" s="3">
        <v>2277</v>
      </c>
      <c r="B80" s="4">
        <v>10</v>
      </c>
      <c r="C80" s="3" t="s">
        <v>78</v>
      </c>
      <c r="D80" s="4"/>
      <c r="E80"/>
    </row>
    <row r="81" spans="1:5" x14ac:dyDescent="0.25">
      <c r="A81" s="3">
        <v>1328</v>
      </c>
      <c r="B81" s="4">
        <v>20</v>
      </c>
      <c r="C81" s="3" t="s">
        <v>79</v>
      </c>
      <c r="D81" s="4"/>
      <c r="E81"/>
    </row>
    <row r="82" spans="1:5" x14ac:dyDescent="0.25">
      <c r="A82" s="3">
        <v>1120</v>
      </c>
      <c r="B82" s="4">
        <v>0.5</v>
      </c>
      <c r="C82" s="3" t="s">
        <v>80</v>
      </c>
      <c r="D82" s="4"/>
      <c r="E82"/>
    </row>
    <row r="83" spans="1:5" x14ac:dyDescent="0.25">
      <c r="A83" s="3">
        <v>1489</v>
      </c>
      <c r="B83" s="4">
        <v>6</v>
      </c>
      <c r="C83" s="3" t="s">
        <v>81</v>
      </c>
      <c r="D83" s="4">
        <v>0.3</v>
      </c>
      <c r="E83"/>
    </row>
    <row r="84" spans="1:5" x14ac:dyDescent="0.25">
      <c r="A84" s="3">
        <v>1324</v>
      </c>
      <c r="B84" s="4">
        <v>4.5</v>
      </c>
      <c r="C84" s="3" t="s">
        <v>82</v>
      </c>
      <c r="D84" s="4"/>
      <c r="E84"/>
    </row>
    <row r="85" spans="1:5" x14ac:dyDescent="0.25">
      <c r="A85" s="3">
        <v>1602</v>
      </c>
      <c r="B85" s="4">
        <v>4.5</v>
      </c>
      <c r="C85" s="3" t="s">
        <v>82</v>
      </c>
      <c r="D85" s="4"/>
      <c r="E85"/>
    </row>
    <row r="86" spans="1:5" x14ac:dyDescent="0.25">
      <c r="A86" s="3">
        <v>1665</v>
      </c>
      <c r="B86" s="4">
        <v>6</v>
      </c>
      <c r="C86" s="3" t="s">
        <v>83</v>
      </c>
      <c r="D86" s="4"/>
      <c r="E86"/>
    </row>
    <row r="87" spans="1:5" x14ac:dyDescent="0.25">
      <c r="A87" s="3">
        <v>1575</v>
      </c>
      <c r="B87" s="4">
        <v>15</v>
      </c>
      <c r="C87" s="3" t="s">
        <v>84</v>
      </c>
      <c r="D87" s="4"/>
      <c r="E87"/>
    </row>
    <row r="88" spans="1:5" x14ac:dyDescent="0.25">
      <c r="A88" s="3">
        <v>1492</v>
      </c>
      <c r="B88" s="4">
        <v>12</v>
      </c>
      <c r="C88" s="3" t="s">
        <v>85</v>
      </c>
      <c r="D88" s="4"/>
      <c r="E88"/>
    </row>
    <row r="89" spans="1:5" x14ac:dyDescent="0.25">
      <c r="A89" s="3">
        <v>1692</v>
      </c>
      <c r="B89" s="4">
        <v>12</v>
      </c>
      <c r="C89" s="3" t="s">
        <v>85</v>
      </c>
      <c r="D89" s="4"/>
      <c r="E89"/>
    </row>
    <row r="90" spans="1:5" x14ac:dyDescent="0.25">
      <c r="A90" s="3">
        <v>1813</v>
      </c>
      <c r="B90" s="4">
        <v>12</v>
      </c>
      <c r="C90" s="3" t="s">
        <v>86</v>
      </c>
      <c r="D90" s="4">
        <v>1</v>
      </c>
      <c r="E90"/>
    </row>
    <row r="91" spans="1:5" x14ac:dyDescent="0.25">
      <c r="A91" s="3">
        <v>1869</v>
      </c>
      <c r="B91" s="4">
        <v>20</v>
      </c>
      <c r="C91" s="3" t="s">
        <v>87</v>
      </c>
      <c r="D91" s="4"/>
      <c r="E91"/>
    </row>
    <row r="92" spans="1:5" x14ac:dyDescent="0.25">
      <c r="A92" s="3">
        <v>1319</v>
      </c>
      <c r="B92" s="4">
        <v>19</v>
      </c>
      <c r="C92" s="3" t="s">
        <v>88</v>
      </c>
      <c r="D92" s="4"/>
      <c r="E92"/>
    </row>
    <row r="93" spans="1:5" x14ac:dyDescent="0.25">
      <c r="A93" s="3">
        <v>1332</v>
      </c>
      <c r="B93" s="4">
        <v>18</v>
      </c>
      <c r="C93" s="3" t="s">
        <v>89</v>
      </c>
      <c r="D93" s="4"/>
      <c r="E93"/>
    </row>
    <row r="94" spans="1:5" x14ac:dyDescent="0.25">
      <c r="A94" s="3">
        <v>1873</v>
      </c>
      <c r="B94" s="4">
        <v>18</v>
      </c>
      <c r="C94" s="3" t="s">
        <v>90</v>
      </c>
      <c r="D94" s="4">
        <v>1</v>
      </c>
      <c r="E94"/>
    </row>
    <row r="95" spans="1:5" x14ac:dyDescent="0.25">
      <c r="A95" s="3">
        <v>1094</v>
      </c>
      <c r="B95" s="4">
        <v>20</v>
      </c>
      <c r="C95" s="3" t="s">
        <v>91</v>
      </c>
      <c r="D95" s="4"/>
      <c r="E95"/>
    </row>
    <row r="96" spans="1:5" x14ac:dyDescent="0.25">
      <c r="A96" s="3">
        <v>1134</v>
      </c>
      <c r="B96" s="4">
        <v>18</v>
      </c>
      <c r="C96" s="3" t="s">
        <v>92</v>
      </c>
      <c r="D96" s="4"/>
      <c r="E96"/>
    </row>
    <row r="97" spans="1:5" x14ac:dyDescent="0.25">
      <c r="A97" s="3">
        <v>1189</v>
      </c>
      <c r="B97" s="4">
        <v>12</v>
      </c>
      <c r="C97" s="3" t="s">
        <v>93</v>
      </c>
      <c r="D97" s="4"/>
      <c r="E97"/>
    </row>
    <row r="98" spans="1:5" x14ac:dyDescent="0.25">
      <c r="A98" s="3">
        <v>1756</v>
      </c>
      <c r="B98" s="4">
        <v>9.6</v>
      </c>
      <c r="C98" s="3" t="s">
        <v>94</v>
      </c>
      <c r="D98" s="4"/>
      <c r="E98"/>
    </row>
    <row r="99" spans="1:5" x14ac:dyDescent="0.25">
      <c r="A99" s="3">
        <v>1659</v>
      </c>
      <c r="B99" s="4">
        <v>10</v>
      </c>
      <c r="C99" s="3" t="s">
        <v>95</v>
      </c>
      <c r="D99" s="4"/>
      <c r="E99"/>
    </row>
    <row r="100" spans="1:5" x14ac:dyDescent="0.25">
      <c r="A100" s="3">
        <v>1547</v>
      </c>
      <c r="B100" s="4">
        <v>12</v>
      </c>
      <c r="C100" s="3" t="s">
        <v>96</v>
      </c>
      <c r="D100" s="4"/>
      <c r="E100"/>
    </row>
    <row r="101" spans="1:5" x14ac:dyDescent="0.25">
      <c r="A101" s="3">
        <v>1652</v>
      </c>
      <c r="B101" s="4">
        <v>12</v>
      </c>
      <c r="C101" s="3" t="s">
        <v>96</v>
      </c>
      <c r="D101" s="4"/>
      <c r="E101"/>
    </row>
    <row r="102" spans="1:5" x14ac:dyDescent="0.25">
      <c r="A102" s="3">
        <v>1057</v>
      </c>
      <c r="B102" s="4">
        <v>12</v>
      </c>
      <c r="C102" s="3" t="s">
        <v>97</v>
      </c>
      <c r="D102" s="4"/>
      <c r="E102"/>
    </row>
    <row r="103" spans="1:5" x14ac:dyDescent="0.25">
      <c r="A103" s="3">
        <v>1553</v>
      </c>
      <c r="B103" s="4">
        <v>6.4</v>
      </c>
      <c r="C103" s="3" t="s">
        <v>98</v>
      </c>
      <c r="D103" s="4"/>
      <c r="E103"/>
    </row>
    <row r="104" spans="1:5" x14ac:dyDescent="0.25">
      <c r="A104" s="3">
        <v>1872</v>
      </c>
      <c r="B104" s="4">
        <v>12</v>
      </c>
      <c r="C104" s="3" t="s">
        <v>99</v>
      </c>
      <c r="D104" s="4"/>
      <c r="E104"/>
    </row>
    <row r="105" spans="1:5" x14ac:dyDescent="0.25">
      <c r="A105" s="3">
        <v>1504</v>
      </c>
      <c r="B105" s="4">
        <v>12</v>
      </c>
      <c r="C105" s="3" t="s">
        <v>100</v>
      </c>
      <c r="D105" s="4"/>
      <c r="E105"/>
    </row>
    <row r="106" spans="1:5" x14ac:dyDescent="0.25">
      <c r="A106" s="3">
        <v>1334</v>
      </c>
      <c r="B106" s="4">
        <v>20</v>
      </c>
      <c r="C106" s="3" t="s">
        <v>101</v>
      </c>
      <c r="D106" s="4"/>
      <c r="E106"/>
    </row>
    <row r="107" spans="1:5" x14ac:dyDescent="0.25">
      <c r="A107" s="3">
        <v>1156</v>
      </c>
      <c r="B107" s="4">
        <v>18</v>
      </c>
      <c r="C107" s="3" t="s">
        <v>102</v>
      </c>
      <c r="D107" s="4"/>
      <c r="E107"/>
    </row>
    <row r="108" spans="1:5" x14ac:dyDescent="0.25">
      <c r="A108" s="3">
        <v>1822</v>
      </c>
      <c r="B108" s="4">
        <v>18</v>
      </c>
      <c r="C108" s="3" t="s">
        <v>103</v>
      </c>
      <c r="D108" s="4"/>
      <c r="E108"/>
    </row>
    <row r="109" spans="1:5" x14ac:dyDescent="0.25">
      <c r="A109" s="3">
        <v>1698</v>
      </c>
      <c r="B109" s="4">
        <v>20</v>
      </c>
      <c r="C109" s="3" t="s">
        <v>104</v>
      </c>
      <c r="D109" s="4"/>
      <c r="E109"/>
    </row>
    <row r="110" spans="1:5" x14ac:dyDescent="0.25">
      <c r="A110" s="3">
        <v>1020</v>
      </c>
      <c r="B110" s="4">
        <v>18</v>
      </c>
      <c r="C110" s="3" t="s">
        <v>105</v>
      </c>
      <c r="D110" s="4"/>
      <c r="E110"/>
    </row>
    <row r="111" spans="1:5" x14ac:dyDescent="0.25">
      <c r="A111" s="3">
        <v>1308</v>
      </c>
      <c r="B111" s="4">
        <v>20</v>
      </c>
      <c r="C111" s="3" t="s">
        <v>106</v>
      </c>
      <c r="D111" s="4"/>
      <c r="E111"/>
    </row>
    <row r="112" spans="1:5" x14ac:dyDescent="0.25">
      <c r="A112" s="3">
        <v>1570</v>
      </c>
      <c r="B112" s="4">
        <v>20</v>
      </c>
      <c r="C112" s="3" t="s">
        <v>107</v>
      </c>
      <c r="D112" s="4"/>
      <c r="E112"/>
    </row>
    <row r="113" spans="1:5" x14ac:dyDescent="0.25">
      <c r="A113" s="3">
        <v>1143</v>
      </c>
      <c r="B113" s="4">
        <v>12</v>
      </c>
      <c r="C113" s="3" t="s">
        <v>108</v>
      </c>
      <c r="D113" s="4"/>
      <c r="E113"/>
    </row>
    <row r="114" spans="1:5" x14ac:dyDescent="0.25">
      <c r="A114" s="3">
        <v>1465</v>
      </c>
      <c r="B114" s="4">
        <v>12</v>
      </c>
      <c r="C114" s="3" t="s">
        <v>109</v>
      </c>
      <c r="D114" s="4"/>
      <c r="E114"/>
    </row>
    <row r="115" spans="1:5" x14ac:dyDescent="0.25">
      <c r="A115" s="3">
        <v>1688</v>
      </c>
      <c r="B115" s="4">
        <v>12</v>
      </c>
      <c r="C115" s="3" t="s">
        <v>109</v>
      </c>
      <c r="D115" s="4"/>
      <c r="E115"/>
    </row>
    <row r="116" spans="1:5" x14ac:dyDescent="0.25">
      <c r="A116" s="3">
        <v>1087</v>
      </c>
      <c r="B116" s="4">
        <v>18</v>
      </c>
      <c r="C116" s="3" t="s">
        <v>110</v>
      </c>
      <c r="D116" s="4"/>
      <c r="E116"/>
    </row>
    <row r="117" spans="1:5" x14ac:dyDescent="0.25">
      <c r="A117" s="3">
        <v>1681</v>
      </c>
      <c r="B117" s="4">
        <v>18</v>
      </c>
      <c r="C117" s="3" t="s">
        <v>111</v>
      </c>
      <c r="D117" s="4"/>
      <c r="E117"/>
    </row>
    <row r="118" spans="1:5" x14ac:dyDescent="0.25">
      <c r="A118" s="3">
        <v>1463</v>
      </c>
      <c r="B118" s="4">
        <v>18</v>
      </c>
      <c r="C118" s="3" t="s">
        <v>112</v>
      </c>
      <c r="D118" s="4"/>
      <c r="E118"/>
    </row>
    <row r="119" spans="1:5" x14ac:dyDescent="0.25">
      <c r="A119" s="3">
        <v>1493</v>
      </c>
      <c r="B119" s="4">
        <v>20</v>
      </c>
      <c r="C119" s="3" t="s">
        <v>113</v>
      </c>
      <c r="D119" s="4"/>
      <c r="E119"/>
    </row>
    <row r="120" spans="1:5" x14ac:dyDescent="0.25">
      <c r="A120" s="3">
        <v>1694</v>
      </c>
      <c r="B120" s="4">
        <v>20</v>
      </c>
      <c r="C120" s="3" t="s">
        <v>113</v>
      </c>
      <c r="D120" s="4"/>
      <c r="E120"/>
    </row>
    <row r="121" spans="1:5" x14ac:dyDescent="0.25">
      <c r="A121" s="3">
        <v>1419</v>
      </c>
      <c r="B121" s="4">
        <v>12</v>
      </c>
      <c r="C121" s="3" t="s">
        <v>114</v>
      </c>
      <c r="D121" s="4"/>
      <c r="E121"/>
    </row>
    <row r="122" spans="1:5" x14ac:dyDescent="0.25">
      <c r="A122" s="3">
        <v>1893</v>
      </c>
      <c r="B122" s="4">
        <v>12</v>
      </c>
      <c r="C122" s="3" t="s">
        <v>115</v>
      </c>
      <c r="D122" s="4"/>
      <c r="E122"/>
    </row>
    <row r="123" spans="1:5" x14ac:dyDescent="0.25">
      <c r="A123" s="3">
        <v>1868</v>
      </c>
      <c r="B123" s="4">
        <v>20</v>
      </c>
      <c r="C123" s="3" t="s">
        <v>116</v>
      </c>
      <c r="D123" s="4"/>
      <c r="E123"/>
    </row>
    <row r="124" spans="1:5" x14ac:dyDescent="0.25">
      <c r="A124" s="3">
        <v>1896</v>
      </c>
      <c r="B124" s="4">
        <v>11.2</v>
      </c>
      <c r="C124" s="3" t="s">
        <v>117</v>
      </c>
      <c r="D124" s="4"/>
      <c r="E124"/>
    </row>
    <row r="125" spans="1:5" x14ac:dyDescent="0.25">
      <c r="A125" s="3">
        <v>1853</v>
      </c>
      <c r="B125" s="4">
        <v>18</v>
      </c>
      <c r="C125" s="3" t="s">
        <v>118</v>
      </c>
      <c r="D125" s="4"/>
      <c r="E125"/>
    </row>
    <row r="126" spans="1:5" x14ac:dyDescent="0.25">
      <c r="A126" s="3">
        <v>1895</v>
      </c>
      <c r="B126" s="4">
        <v>11.2</v>
      </c>
      <c r="C126" s="3" t="s">
        <v>119</v>
      </c>
      <c r="D126" s="4"/>
      <c r="E126"/>
    </row>
    <row r="127" spans="1:5" x14ac:dyDescent="0.25">
      <c r="A127" s="3">
        <v>1816</v>
      </c>
      <c r="B127" s="4">
        <v>20</v>
      </c>
      <c r="C127" s="3" t="s">
        <v>120</v>
      </c>
      <c r="D127" s="4"/>
      <c r="E127"/>
    </row>
    <row r="128" spans="1:5" x14ac:dyDescent="0.25">
      <c r="A128" s="3">
        <v>1760</v>
      </c>
      <c r="B128" s="4">
        <v>12</v>
      </c>
      <c r="C128" s="3" t="s">
        <v>121</v>
      </c>
      <c r="D128" s="4"/>
      <c r="E128"/>
    </row>
    <row r="129" spans="1:5" x14ac:dyDescent="0.25">
      <c r="A129" s="3">
        <v>1420</v>
      </c>
      <c r="B129" s="4">
        <v>12</v>
      </c>
      <c r="C129" s="3" t="s">
        <v>122</v>
      </c>
      <c r="D129" s="4"/>
      <c r="E129"/>
    </row>
    <row r="130" spans="1:5" x14ac:dyDescent="0.25">
      <c r="A130" s="3">
        <v>1689</v>
      </c>
      <c r="B130" s="4">
        <v>12</v>
      </c>
      <c r="C130" s="3" t="s">
        <v>122</v>
      </c>
      <c r="D130" s="4"/>
      <c r="E130"/>
    </row>
    <row r="131" spans="1:5" x14ac:dyDescent="0.25">
      <c r="A131" s="3">
        <v>1625</v>
      </c>
      <c r="B131" s="4">
        <v>18</v>
      </c>
      <c r="C131" s="3" t="s">
        <v>123</v>
      </c>
      <c r="D131" s="4"/>
      <c r="E131"/>
    </row>
    <row r="132" spans="1:5" x14ac:dyDescent="0.25">
      <c r="A132" s="3">
        <v>1251</v>
      </c>
      <c r="B132" s="4">
        <v>20</v>
      </c>
      <c r="C132" s="3" t="s">
        <v>124</v>
      </c>
      <c r="D132" s="4"/>
      <c r="E132"/>
    </row>
    <row r="133" spans="1:5" x14ac:dyDescent="0.25">
      <c r="A133" s="3">
        <v>1582</v>
      </c>
      <c r="B133" s="4">
        <v>20</v>
      </c>
      <c r="C133" s="3" t="s">
        <v>124</v>
      </c>
      <c r="D133" s="4"/>
      <c r="E133"/>
    </row>
    <row r="134" spans="1:5" x14ac:dyDescent="0.25">
      <c r="A134" s="3">
        <v>1377</v>
      </c>
      <c r="B134" s="4">
        <v>20</v>
      </c>
      <c r="C134" s="3" t="s">
        <v>125</v>
      </c>
      <c r="D134" s="4"/>
      <c r="E134"/>
    </row>
    <row r="135" spans="1:5" x14ac:dyDescent="0.25">
      <c r="A135" s="3">
        <v>1865</v>
      </c>
      <c r="B135" s="4">
        <v>20</v>
      </c>
      <c r="C135" s="3" t="s">
        <v>126</v>
      </c>
      <c r="D135" s="4"/>
      <c r="E135"/>
    </row>
    <row r="136" spans="1:5" x14ac:dyDescent="0.25">
      <c r="A136" s="3">
        <v>1471</v>
      </c>
      <c r="B136" s="4">
        <v>20</v>
      </c>
      <c r="C136" s="3" t="s">
        <v>127</v>
      </c>
      <c r="D136" s="4"/>
      <c r="E136"/>
    </row>
    <row r="137" spans="1:5" x14ac:dyDescent="0.25">
      <c r="A137" s="3">
        <v>1421</v>
      </c>
      <c r="B137" s="4">
        <v>12</v>
      </c>
      <c r="C137" s="3" t="s">
        <v>128</v>
      </c>
      <c r="D137" s="4"/>
      <c r="E137"/>
    </row>
    <row r="138" spans="1:5" x14ac:dyDescent="0.25">
      <c r="A138" s="3">
        <v>1136</v>
      </c>
      <c r="B138" s="4">
        <v>18</v>
      </c>
      <c r="C138" s="3" t="s">
        <v>129</v>
      </c>
      <c r="D138" s="4"/>
      <c r="E138"/>
    </row>
    <row r="139" spans="1:5" x14ac:dyDescent="0.25">
      <c r="A139" s="3">
        <v>1671</v>
      </c>
      <c r="B139" s="4">
        <v>27</v>
      </c>
      <c r="C139" s="3" t="s">
        <v>130</v>
      </c>
      <c r="D139" s="4"/>
      <c r="E139"/>
    </row>
    <row r="140" spans="1:5" x14ac:dyDescent="0.25">
      <c r="A140" s="3">
        <v>1348</v>
      </c>
      <c r="B140" s="4">
        <v>25</v>
      </c>
      <c r="C140" s="3" t="s">
        <v>131</v>
      </c>
      <c r="D140" s="4"/>
      <c r="E140"/>
    </row>
    <row r="141" spans="1:5" x14ac:dyDescent="0.25">
      <c r="A141" s="3">
        <v>1605</v>
      </c>
      <c r="B141" s="4">
        <v>25</v>
      </c>
      <c r="C141" s="3" t="s">
        <v>131</v>
      </c>
      <c r="D141" s="4"/>
      <c r="E141"/>
    </row>
    <row r="142" spans="1:5" x14ac:dyDescent="0.25">
      <c r="A142" s="3">
        <v>1078</v>
      </c>
      <c r="B142" s="4">
        <v>12</v>
      </c>
      <c r="C142" s="3" t="s">
        <v>132</v>
      </c>
      <c r="D142" s="4"/>
      <c r="E142"/>
    </row>
    <row r="143" spans="1:5" x14ac:dyDescent="0.25">
      <c r="A143" s="3">
        <v>1670</v>
      </c>
      <c r="B143" s="4">
        <v>12</v>
      </c>
      <c r="C143" s="3" t="s">
        <v>133</v>
      </c>
      <c r="D143" s="4">
        <v>1</v>
      </c>
      <c r="E143"/>
    </row>
    <row r="144" spans="1:5" x14ac:dyDescent="0.25">
      <c r="A144" s="3">
        <v>1589</v>
      </c>
      <c r="B144" s="4">
        <v>5</v>
      </c>
      <c r="C144" s="3" t="s">
        <v>134</v>
      </c>
      <c r="D144" s="4"/>
      <c r="E144"/>
    </row>
    <row r="145" spans="1:5" x14ac:dyDescent="0.25">
      <c r="A145" s="3">
        <v>1897</v>
      </c>
      <c r="B145" s="4">
        <v>11.2</v>
      </c>
      <c r="C145" s="3" t="s">
        <v>135</v>
      </c>
      <c r="D145" s="4"/>
      <c r="E145"/>
    </row>
    <row r="146" spans="1:5" x14ac:dyDescent="0.25">
      <c r="A146" s="3">
        <v>1331</v>
      </c>
      <c r="B146" s="4">
        <v>15</v>
      </c>
      <c r="C146" s="3" t="s">
        <v>136</v>
      </c>
      <c r="D146" s="4">
        <f>15/4</f>
        <v>3.75</v>
      </c>
      <c r="E146"/>
    </row>
    <row r="147" spans="1:5" x14ac:dyDescent="0.25">
      <c r="A147" s="3">
        <v>1871</v>
      </c>
      <c r="B147" s="4">
        <v>20</v>
      </c>
      <c r="C147" s="3" t="s">
        <v>137</v>
      </c>
      <c r="D147" s="4"/>
      <c r="E147"/>
    </row>
    <row r="148" spans="1:5" x14ac:dyDescent="0.25">
      <c r="A148" s="3">
        <v>1894</v>
      </c>
      <c r="B148" s="4">
        <v>16</v>
      </c>
      <c r="C148" s="3" t="s">
        <v>138</v>
      </c>
      <c r="D148" s="4"/>
      <c r="E148"/>
    </row>
    <row r="149" spans="1:5" x14ac:dyDescent="0.25">
      <c r="A149" s="3">
        <v>1899</v>
      </c>
      <c r="B149" s="4">
        <v>18</v>
      </c>
      <c r="C149" s="3" t="s">
        <v>139</v>
      </c>
      <c r="D149" s="4"/>
      <c r="E149"/>
    </row>
    <row r="150" spans="1:5" x14ac:dyDescent="0.25">
      <c r="A150" s="3">
        <v>1464</v>
      </c>
      <c r="B150" s="4">
        <v>12</v>
      </c>
      <c r="C150" s="3" t="s">
        <v>140</v>
      </c>
      <c r="D150" s="4"/>
      <c r="E150"/>
    </row>
    <row r="151" spans="1:5" x14ac:dyDescent="0.25">
      <c r="A151" s="3">
        <v>1654</v>
      </c>
      <c r="B151" s="4">
        <v>12</v>
      </c>
      <c r="C151" s="3" t="s">
        <v>140</v>
      </c>
      <c r="D151" s="4"/>
      <c r="E151"/>
    </row>
    <row r="152" spans="1:5" x14ac:dyDescent="0.25">
      <c r="A152" s="3">
        <v>1838</v>
      </c>
      <c r="B152" s="4">
        <v>12</v>
      </c>
      <c r="C152" s="3" t="s">
        <v>141</v>
      </c>
      <c r="D152" s="4"/>
      <c r="E152"/>
    </row>
    <row r="153" spans="1:5" x14ac:dyDescent="0.25">
      <c r="A153" s="3">
        <v>1646</v>
      </c>
      <c r="B153" s="4">
        <v>18</v>
      </c>
      <c r="C153" s="3" t="s">
        <v>142</v>
      </c>
      <c r="D153" s="4"/>
      <c r="E153"/>
    </row>
    <row r="154" spans="1:5" x14ac:dyDescent="0.25">
      <c r="A154" s="3">
        <v>1056</v>
      </c>
      <c r="B154" s="4">
        <v>18</v>
      </c>
      <c r="C154" s="3" t="s">
        <v>143</v>
      </c>
      <c r="D154" s="4"/>
      <c r="E154"/>
    </row>
    <row r="155" spans="1:5" x14ac:dyDescent="0.25">
      <c r="A155" s="3">
        <v>1898</v>
      </c>
      <c r="B155" s="4">
        <v>11.2</v>
      </c>
      <c r="C155" s="3" t="s">
        <v>144</v>
      </c>
      <c r="D155" s="4"/>
      <c r="E155"/>
    </row>
    <row r="156" spans="1:5" x14ac:dyDescent="0.25">
      <c r="A156" s="3">
        <v>1624</v>
      </c>
      <c r="B156" s="4">
        <v>18</v>
      </c>
      <c r="C156" s="3" t="s">
        <v>145</v>
      </c>
      <c r="D156" s="4"/>
      <c r="E156"/>
    </row>
    <row r="157" spans="1:5" x14ac:dyDescent="0.25">
      <c r="A157" s="3">
        <v>1307</v>
      </c>
      <c r="B157" s="4">
        <v>20</v>
      </c>
      <c r="C157" s="3" t="s">
        <v>146</v>
      </c>
      <c r="D157" s="4"/>
      <c r="E157"/>
    </row>
    <row r="158" spans="1:5" x14ac:dyDescent="0.25">
      <c r="A158" s="3">
        <v>1693</v>
      </c>
      <c r="B158" s="4">
        <v>18</v>
      </c>
      <c r="C158" s="3" t="s">
        <v>147</v>
      </c>
      <c r="D158" s="4"/>
      <c r="E158"/>
    </row>
    <row r="159" spans="1:5" x14ac:dyDescent="0.25">
      <c r="A159" s="3">
        <v>1433</v>
      </c>
      <c r="B159" s="4">
        <v>18</v>
      </c>
      <c r="C159" s="3" t="s">
        <v>148</v>
      </c>
      <c r="D159" s="4"/>
      <c r="E159"/>
    </row>
    <row r="160" spans="1:5" x14ac:dyDescent="0.25">
      <c r="A160" s="3">
        <v>1527</v>
      </c>
      <c r="B160" s="4">
        <v>20</v>
      </c>
      <c r="C160" s="3" t="s">
        <v>149</v>
      </c>
      <c r="D160" s="4"/>
      <c r="E160"/>
    </row>
    <row r="161" spans="1:5" x14ac:dyDescent="0.25">
      <c r="A161" s="3">
        <v>1861</v>
      </c>
      <c r="B161" s="4">
        <v>15</v>
      </c>
      <c r="C161" s="3" t="s">
        <v>150</v>
      </c>
      <c r="D161" s="4"/>
      <c r="E161"/>
    </row>
    <row r="162" spans="1:5" x14ac:dyDescent="0.25">
      <c r="A162" s="3">
        <v>1862</v>
      </c>
      <c r="B162" s="4">
        <v>16</v>
      </c>
      <c r="C162" s="3" t="s">
        <v>151</v>
      </c>
      <c r="D162" s="4">
        <v>0.8</v>
      </c>
      <c r="E162"/>
    </row>
    <row r="163" spans="1:5" x14ac:dyDescent="0.25">
      <c r="A163" s="3">
        <v>1800</v>
      </c>
      <c r="B163" s="4">
        <v>20</v>
      </c>
      <c r="C163" s="3" t="s">
        <v>152</v>
      </c>
      <c r="D163" s="4"/>
      <c r="E163"/>
    </row>
    <row r="164" spans="1:5" x14ac:dyDescent="0.25">
      <c r="A164" s="3">
        <v>1758</v>
      </c>
      <c r="B164" s="4">
        <v>15</v>
      </c>
      <c r="C164" s="3" t="s">
        <v>153</v>
      </c>
      <c r="D164" s="4"/>
      <c r="E164"/>
    </row>
    <row r="165" spans="1:5" x14ac:dyDescent="0.25">
      <c r="A165" s="3">
        <v>1882</v>
      </c>
      <c r="B165" s="4">
        <v>12</v>
      </c>
      <c r="C165" s="3" t="s">
        <v>154</v>
      </c>
      <c r="D165" s="4">
        <v>0.4</v>
      </c>
      <c r="E165"/>
    </row>
    <row r="166" spans="1:5" x14ac:dyDescent="0.25">
      <c r="A166" s="3">
        <v>1076</v>
      </c>
      <c r="B166" s="4">
        <v>12</v>
      </c>
      <c r="C166" s="3" t="s">
        <v>155</v>
      </c>
      <c r="D166" s="4"/>
      <c r="E166"/>
    </row>
    <row r="167" spans="1:5" x14ac:dyDescent="0.25">
      <c r="A167" s="3">
        <v>1680</v>
      </c>
      <c r="B167" s="4">
        <v>6</v>
      </c>
      <c r="C167" s="3" t="s">
        <v>156</v>
      </c>
      <c r="D167" s="4"/>
      <c r="E167"/>
    </row>
    <row r="168" spans="1:5" x14ac:dyDescent="0.25">
      <c r="A168" s="3">
        <v>1840</v>
      </c>
      <c r="B168" s="4">
        <v>12</v>
      </c>
      <c r="C168" s="3" t="s">
        <v>157</v>
      </c>
      <c r="D168" s="4">
        <v>1</v>
      </c>
      <c r="E168"/>
    </row>
    <row r="169" spans="1:5" x14ac:dyDescent="0.25">
      <c r="A169" s="3">
        <v>1397</v>
      </c>
      <c r="B169" s="4">
        <v>16</v>
      </c>
      <c r="C169" s="3" t="s">
        <v>158</v>
      </c>
      <c r="D169" s="4"/>
      <c r="E169"/>
    </row>
    <row r="170" spans="1:5" x14ac:dyDescent="0.25">
      <c r="A170" s="3">
        <v>1380</v>
      </c>
      <c r="B170" s="4">
        <v>12</v>
      </c>
      <c r="C170" s="3" t="s">
        <v>159</v>
      </c>
      <c r="D170" s="4"/>
      <c r="E170"/>
    </row>
    <row r="171" spans="1:5" x14ac:dyDescent="0.25">
      <c r="A171" s="3">
        <v>1767</v>
      </c>
      <c r="B171" s="4">
        <v>11.2</v>
      </c>
      <c r="C171" s="3" t="s">
        <v>160</v>
      </c>
      <c r="D171" s="4"/>
      <c r="E171"/>
    </row>
    <row r="172" spans="1:5" x14ac:dyDescent="0.25">
      <c r="A172" s="3">
        <v>1514</v>
      </c>
      <c r="B172" s="4">
        <v>8</v>
      </c>
      <c r="C172" s="3" t="s">
        <v>161</v>
      </c>
      <c r="D172" s="4"/>
      <c r="E172"/>
    </row>
    <row r="173" spans="1:5" x14ac:dyDescent="0.25">
      <c r="A173" s="3">
        <v>1755</v>
      </c>
      <c r="B173" s="4">
        <v>20</v>
      </c>
      <c r="C173" s="3" t="s">
        <v>162</v>
      </c>
      <c r="D173" s="4"/>
      <c r="E173"/>
    </row>
    <row r="174" spans="1:5" x14ac:dyDescent="0.25">
      <c r="A174" s="3">
        <v>1565</v>
      </c>
      <c r="B174" s="4">
        <v>12</v>
      </c>
      <c r="C174" s="3" t="s">
        <v>163</v>
      </c>
      <c r="D174" s="4"/>
      <c r="E174"/>
    </row>
    <row r="175" spans="1:5" x14ac:dyDescent="0.25">
      <c r="A175" s="3">
        <v>1450</v>
      </c>
      <c r="B175" s="4">
        <v>12</v>
      </c>
      <c r="C175" s="3" t="s">
        <v>164</v>
      </c>
      <c r="D175" s="4"/>
      <c r="E175"/>
    </row>
    <row r="176" spans="1:5" x14ac:dyDescent="0.25">
      <c r="A176" s="3">
        <v>1757</v>
      </c>
      <c r="B176" s="4">
        <v>16</v>
      </c>
      <c r="C176" s="3" t="s">
        <v>165</v>
      </c>
      <c r="D176" s="4"/>
      <c r="E176"/>
    </row>
    <row r="177" spans="1:5" x14ac:dyDescent="0.25">
      <c r="A177" s="3">
        <v>1385</v>
      </c>
      <c r="B177" s="4">
        <v>8</v>
      </c>
      <c r="C177" s="3" t="s">
        <v>166</v>
      </c>
      <c r="D177" s="4"/>
      <c r="E177"/>
    </row>
    <row r="178" spans="1:5" x14ac:dyDescent="0.25">
      <c r="A178" s="3">
        <v>1620</v>
      </c>
      <c r="B178" s="4">
        <v>20</v>
      </c>
      <c r="C178" s="3" t="s">
        <v>167</v>
      </c>
      <c r="D178" s="4"/>
      <c r="E178"/>
    </row>
    <row r="179" spans="1:5" x14ac:dyDescent="0.25">
      <c r="A179" s="3">
        <v>1053</v>
      </c>
      <c r="B179" s="4">
        <v>20</v>
      </c>
      <c r="C179" s="3" t="s">
        <v>168</v>
      </c>
      <c r="D179" s="4"/>
      <c r="E179"/>
    </row>
    <row r="180" spans="1:5" x14ac:dyDescent="0.25">
      <c r="A180" s="3">
        <v>1533</v>
      </c>
      <c r="B180" s="4">
        <v>20</v>
      </c>
      <c r="C180" s="3" t="s">
        <v>168</v>
      </c>
      <c r="D180" s="4"/>
      <c r="E180"/>
    </row>
    <row r="181" spans="1:5" x14ac:dyDescent="0.25">
      <c r="A181" s="3">
        <v>1461</v>
      </c>
      <c r="B181" s="4">
        <v>18</v>
      </c>
      <c r="C181" s="3" t="s">
        <v>169</v>
      </c>
      <c r="D181" s="4"/>
      <c r="E181"/>
    </row>
    <row r="182" spans="1:5" x14ac:dyDescent="0.25">
      <c r="A182" s="3">
        <v>1683</v>
      </c>
      <c r="B182" s="4">
        <v>20</v>
      </c>
      <c r="C182" s="3" t="s">
        <v>170</v>
      </c>
      <c r="D182" s="4"/>
      <c r="E182"/>
    </row>
    <row r="183" spans="1:5" x14ac:dyDescent="0.25">
      <c r="A183" s="3">
        <v>1081</v>
      </c>
      <c r="B183" s="4">
        <v>20</v>
      </c>
      <c r="C183" s="3" t="s">
        <v>171</v>
      </c>
      <c r="D183" s="4"/>
      <c r="E183"/>
    </row>
    <row r="184" spans="1:5" x14ac:dyDescent="0.25">
      <c r="A184" s="3">
        <v>1323</v>
      </c>
      <c r="B184" s="4">
        <v>20</v>
      </c>
      <c r="C184" s="3" t="s">
        <v>172</v>
      </c>
      <c r="D184" s="4"/>
      <c r="E184"/>
    </row>
    <row r="185" spans="1:5" x14ac:dyDescent="0.25">
      <c r="A185" s="3">
        <v>1554</v>
      </c>
      <c r="B185" s="4">
        <v>20</v>
      </c>
      <c r="C185" s="3" t="s">
        <v>173</v>
      </c>
      <c r="D185" s="4"/>
      <c r="E185"/>
    </row>
    <row r="186" spans="1:5" x14ac:dyDescent="0.25">
      <c r="A186" s="3">
        <v>1023</v>
      </c>
      <c r="B186" s="4">
        <v>18</v>
      </c>
      <c r="C186" s="3" t="s">
        <v>174</v>
      </c>
      <c r="D186" s="4"/>
      <c r="E186"/>
    </row>
    <row r="187" spans="1:5" x14ac:dyDescent="0.25">
      <c r="A187" s="3">
        <v>1155</v>
      </c>
      <c r="B187" s="4">
        <v>18</v>
      </c>
      <c r="C187" s="3" t="s">
        <v>175</v>
      </c>
      <c r="D187" s="4"/>
      <c r="E187"/>
    </row>
    <row r="188" spans="1:5" x14ac:dyDescent="0.25">
      <c r="A188" s="3">
        <v>1422</v>
      </c>
      <c r="B188" s="4">
        <v>12</v>
      </c>
      <c r="C188" s="3" t="s">
        <v>176</v>
      </c>
      <c r="D188" s="4"/>
      <c r="E188"/>
    </row>
    <row r="189" spans="1:5" x14ac:dyDescent="0.25">
      <c r="A189" s="3">
        <v>1423</v>
      </c>
      <c r="B189" s="4">
        <v>20</v>
      </c>
      <c r="C189" s="3" t="s">
        <v>177</v>
      </c>
      <c r="D189" s="4"/>
      <c r="E189"/>
    </row>
    <row r="190" spans="1:5" x14ac:dyDescent="0.25">
      <c r="A190" s="3">
        <v>1612</v>
      </c>
      <c r="B190" s="4">
        <v>20</v>
      </c>
      <c r="C190" s="3" t="s">
        <v>178</v>
      </c>
      <c r="D190" s="4"/>
      <c r="E190"/>
    </row>
    <row r="191" spans="1:5" x14ac:dyDescent="0.25">
      <c r="A191" s="3">
        <v>1503</v>
      </c>
      <c r="B191" s="4">
        <v>20</v>
      </c>
      <c r="C191" s="3" t="s">
        <v>179</v>
      </c>
      <c r="D191" s="4"/>
      <c r="E191"/>
    </row>
    <row r="192" spans="1:5" x14ac:dyDescent="0.25">
      <c r="A192" s="3">
        <v>1806</v>
      </c>
      <c r="B192" s="4">
        <v>22</v>
      </c>
      <c r="C192" s="3" t="s">
        <v>180</v>
      </c>
      <c r="D192" s="4"/>
      <c r="E192"/>
    </row>
    <row r="193" spans="1:5" x14ac:dyDescent="0.25">
      <c r="A193" s="3">
        <v>1256</v>
      </c>
      <c r="B193" s="4">
        <v>20</v>
      </c>
      <c r="C193" s="3" t="s">
        <v>181</v>
      </c>
      <c r="D193" s="4"/>
      <c r="E193"/>
    </row>
    <row r="194" spans="1:5" x14ac:dyDescent="0.25">
      <c r="A194" s="3">
        <v>1532</v>
      </c>
      <c r="B194" s="4">
        <v>2.016</v>
      </c>
      <c r="C194" s="3" t="s">
        <v>182</v>
      </c>
      <c r="D194" s="4"/>
      <c r="E194"/>
    </row>
    <row r="195" spans="1:5" x14ac:dyDescent="0.25">
      <c r="A195" s="3">
        <v>1662</v>
      </c>
      <c r="B195" s="4">
        <v>8.0640000000000001</v>
      </c>
      <c r="C195" s="3" t="s">
        <v>183</v>
      </c>
      <c r="D195" s="4"/>
      <c r="E195"/>
    </row>
    <row r="196" spans="1:5" x14ac:dyDescent="0.25">
      <c r="A196" s="3">
        <v>1903</v>
      </c>
      <c r="B196" s="4">
        <v>2.016</v>
      </c>
      <c r="C196" s="3" t="s">
        <v>184</v>
      </c>
      <c r="D196" s="4">
        <v>1</v>
      </c>
      <c r="E196"/>
    </row>
    <row r="197" spans="1:5" x14ac:dyDescent="0.25">
      <c r="A197" s="3">
        <v>1864</v>
      </c>
      <c r="B197" s="4">
        <v>8.0640000000000001</v>
      </c>
      <c r="C197" s="3" t="s">
        <v>185</v>
      </c>
      <c r="D197" s="4">
        <v>0.67200000000000004</v>
      </c>
      <c r="E197"/>
    </row>
    <row r="198" spans="1:5" x14ac:dyDescent="0.25">
      <c r="A198" s="3">
        <v>1451</v>
      </c>
      <c r="B198" s="4">
        <v>2.61</v>
      </c>
      <c r="C198" s="3" t="s">
        <v>186</v>
      </c>
      <c r="D198" s="4"/>
      <c r="E198"/>
    </row>
    <row r="199" spans="1:5" x14ac:dyDescent="0.25">
      <c r="A199" s="3">
        <v>1093</v>
      </c>
      <c r="B199" s="4">
        <v>2.61</v>
      </c>
      <c r="C199" s="3" t="s">
        <v>187</v>
      </c>
      <c r="D199" s="4"/>
      <c r="E199"/>
    </row>
    <row r="200" spans="1:5" x14ac:dyDescent="0.25">
      <c r="A200" s="3">
        <v>1090</v>
      </c>
      <c r="B200" s="4">
        <v>2.61</v>
      </c>
      <c r="C200" s="3" t="s">
        <v>188</v>
      </c>
      <c r="D200" s="4"/>
      <c r="E200"/>
    </row>
    <row r="201" spans="1:5" x14ac:dyDescent="0.25">
      <c r="A201" s="3">
        <v>1100</v>
      </c>
      <c r="B201" s="4">
        <v>2.61</v>
      </c>
      <c r="C201" s="3" t="s">
        <v>189</v>
      </c>
      <c r="D201" s="4"/>
      <c r="E201"/>
    </row>
    <row r="202" spans="1:5" x14ac:dyDescent="0.25">
      <c r="A202" s="3">
        <v>1781</v>
      </c>
      <c r="B202" s="4">
        <v>6.48</v>
      </c>
      <c r="C202" s="3" t="s">
        <v>190</v>
      </c>
      <c r="D202" s="4"/>
      <c r="E202"/>
    </row>
    <row r="203" spans="1:5" x14ac:dyDescent="0.25">
      <c r="A203" s="3">
        <v>1875</v>
      </c>
      <c r="B203" s="4">
        <v>12</v>
      </c>
      <c r="C203" s="3" t="s">
        <v>191</v>
      </c>
      <c r="D203" s="4"/>
      <c r="E203"/>
    </row>
    <row r="204" spans="1:5" x14ac:dyDescent="0.25">
      <c r="A204" s="3">
        <v>1682</v>
      </c>
      <c r="B204" s="4">
        <v>12</v>
      </c>
      <c r="C204" s="3" t="s">
        <v>192</v>
      </c>
      <c r="D204" s="4"/>
      <c r="E204"/>
    </row>
    <row r="205" spans="1:5" x14ac:dyDescent="0.25">
      <c r="A205" s="3">
        <v>1713</v>
      </c>
      <c r="B205" s="4">
        <v>12</v>
      </c>
      <c r="C205" s="3" t="s">
        <v>193</v>
      </c>
      <c r="D205" s="4"/>
      <c r="E205"/>
    </row>
    <row r="206" spans="1:5" x14ac:dyDescent="0.25">
      <c r="A206" s="3">
        <v>1777</v>
      </c>
      <c r="B206" s="4">
        <v>6</v>
      </c>
      <c r="C206" s="3" t="s">
        <v>194</v>
      </c>
      <c r="D206" s="4"/>
      <c r="E206"/>
    </row>
    <row r="207" spans="1:5" x14ac:dyDescent="0.25">
      <c r="A207" s="3">
        <v>1854</v>
      </c>
      <c r="B207" s="4">
        <v>20</v>
      </c>
      <c r="C207" s="3" t="s">
        <v>195</v>
      </c>
      <c r="D207" s="4"/>
      <c r="E207"/>
    </row>
    <row r="208" spans="1:5" x14ac:dyDescent="0.25">
      <c r="A208" s="3">
        <v>1780</v>
      </c>
      <c r="B208" s="4">
        <v>6.48</v>
      </c>
      <c r="C208" s="3" t="s">
        <v>196</v>
      </c>
      <c r="D208" s="4"/>
      <c r="E208"/>
    </row>
    <row r="209" spans="1:5" x14ac:dyDescent="0.25">
      <c r="A209" s="3">
        <v>1779</v>
      </c>
      <c r="B209" s="4">
        <v>6.48</v>
      </c>
      <c r="C209" s="3" t="s">
        <v>197</v>
      </c>
      <c r="D209" s="4"/>
      <c r="E209"/>
    </row>
    <row r="210" spans="1:5" x14ac:dyDescent="0.25">
      <c r="A210" s="3">
        <v>1668</v>
      </c>
      <c r="B210" s="4">
        <v>12</v>
      </c>
      <c r="C210" s="3" t="s">
        <v>198</v>
      </c>
      <c r="D210" s="4"/>
      <c r="E210"/>
    </row>
    <row r="211" spans="1:5" x14ac:dyDescent="0.25">
      <c r="A211" s="3">
        <v>1776</v>
      </c>
      <c r="B211" s="4">
        <v>6</v>
      </c>
      <c r="C211" s="3" t="s">
        <v>199</v>
      </c>
      <c r="D211" s="4"/>
      <c r="E211"/>
    </row>
    <row r="212" spans="1:5" x14ac:dyDescent="0.25">
      <c r="A212" s="3">
        <v>1797</v>
      </c>
      <c r="B212" s="4">
        <v>6</v>
      </c>
      <c r="C212" s="3" t="s">
        <v>200</v>
      </c>
      <c r="D212" s="4"/>
      <c r="E212"/>
    </row>
    <row r="213" spans="1:5" x14ac:dyDescent="0.25">
      <c r="A213" s="3">
        <v>1798</v>
      </c>
      <c r="B213" s="4">
        <v>6</v>
      </c>
      <c r="C213" s="3" t="s">
        <v>201</v>
      </c>
      <c r="D213" s="4"/>
      <c r="E213"/>
    </row>
    <row r="214" spans="1:5" x14ac:dyDescent="0.25">
      <c r="A214" s="3">
        <v>1388</v>
      </c>
      <c r="B214" s="4">
        <v>20</v>
      </c>
      <c r="C214" s="3" t="s">
        <v>202</v>
      </c>
      <c r="D214" s="4">
        <v>1</v>
      </c>
      <c r="E214"/>
    </row>
    <row r="215" spans="1:5" x14ac:dyDescent="0.25">
      <c r="A215" s="3">
        <v>1396</v>
      </c>
      <c r="B215" s="4">
        <v>200</v>
      </c>
      <c r="C215" s="3" t="s">
        <v>203</v>
      </c>
      <c r="D215" s="4">
        <v>1</v>
      </c>
      <c r="E215"/>
    </row>
    <row r="216" spans="1:5" x14ac:dyDescent="0.25">
      <c r="A216" s="3">
        <v>1400</v>
      </c>
      <c r="B216" s="4">
        <v>25</v>
      </c>
      <c r="C216" s="3" t="s">
        <v>204</v>
      </c>
      <c r="D216" s="4"/>
      <c r="E216"/>
    </row>
    <row r="217" spans="1:5" x14ac:dyDescent="0.25">
      <c r="A217" s="3">
        <v>1458</v>
      </c>
      <c r="B217" s="4">
        <v>25</v>
      </c>
      <c r="C217" s="3" t="s">
        <v>204</v>
      </c>
      <c r="D217" s="4"/>
      <c r="E217"/>
    </row>
    <row r="218" spans="1:5" x14ac:dyDescent="0.25">
      <c r="A218" s="3">
        <v>1410</v>
      </c>
      <c r="B218" s="4">
        <v>25</v>
      </c>
      <c r="C218" s="3" t="s">
        <v>205</v>
      </c>
      <c r="D218" s="4"/>
      <c r="E218"/>
    </row>
    <row r="219" spans="1:5" x14ac:dyDescent="0.25">
      <c r="A219" s="3">
        <v>1399</v>
      </c>
      <c r="B219" s="4">
        <v>25</v>
      </c>
      <c r="C219" s="3" t="s">
        <v>206</v>
      </c>
      <c r="D219" s="4"/>
      <c r="E219"/>
    </row>
    <row r="220" spans="1:5" x14ac:dyDescent="0.25">
      <c r="A220" s="3">
        <v>1411</v>
      </c>
      <c r="B220" s="4">
        <v>25</v>
      </c>
      <c r="C220" s="3" t="s">
        <v>206</v>
      </c>
      <c r="D220" s="4"/>
      <c r="E220"/>
    </row>
    <row r="221" spans="1:5" x14ac:dyDescent="0.25">
      <c r="A221" s="3">
        <v>1460</v>
      </c>
      <c r="B221" s="4">
        <v>25</v>
      </c>
      <c r="C221" s="3" t="s">
        <v>206</v>
      </c>
      <c r="D221" s="4"/>
      <c r="E221"/>
    </row>
    <row r="222" spans="1:5" x14ac:dyDescent="0.25">
      <c r="A222" s="3">
        <v>1762</v>
      </c>
      <c r="B222" s="4">
        <v>20</v>
      </c>
      <c r="C222" s="3" t="s">
        <v>207</v>
      </c>
      <c r="D222" s="4">
        <v>1</v>
      </c>
      <c r="E222"/>
    </row>
    <row r="223" spans="1:5" x14ac:dyDescent="0.25">
      <c r="A223" s="3">
        <v>1408</v>
      </c>
      <c r="B223" s="4">
        <v>72</v>
      </c>
      <c r="C223" s="3" t="s">
        <v>208</v>
      </c>
      <c r="D223" s="4">
        <v>1</v>
      </c>
      <c r="E223"/>
    </row>
    <row r="224" spans="1:5" x14ac:dyDescent="0.25">
      <c r="A224" s="3">
        <v>1398</v>
      </c>
      <c r="B224" s="4">
        <v>25</v>
      </c>
      <c r="C224" s="3" t="s">
        <v>209</v>
      </c>
      <c r="D224" s="4"/>
      <c r="E224"/>
    </row>
    <row r="225" spans="1:5" x14ac:dyDescent="0.25">
      <c r="A225" s="3">
        <v>1412</v>
      </c>
      <c r="B225" s="4">
        <v>25</v>
      </c>
      <c r="C225" s="3" t="s">
        <v>209</v>
      </c>
      <c r="D225" s="4"/>
      <c r="E225"/>
    </row>
    <row r="226" spans="1:5" x14ac:dyDescent="0.25">
      <c r="A226" s="3">
        <v>1459</v>
      </c>
      <c r="B226" s="4">
        <v>25</v>
      </c>
      <c r="C226" s="3" t="s">
        <v>209</v>
      </c>
      <c r="D226" s="4"/>
      <c r="E226"/>
    </row>
    <row r="227" spans="1:5" x14ac:dyDescent="0.25">
      <c r="A227" s="3">
        <v>1393</v>
      </c>
      <c r="B227" s="4">
        <v>20</v>
      </c>
      <c r="C227" s="3" t="s">
        <v>210</v>
      </c>
      <c r="D227" s="4">
        <v>1</v>
      </c>
      <c r="E227"/>
    </row>
    <row r="228" spans="1:5" x14ac:dyDescent="0.25">
      <c r="A228" s="3">
        <v>1392</v>
      </c>
      <c r="B228" s="4">
        <v>20</v>
      </c>
      <c r="C228" s="3" t="s">
        <v>211</v>
      </c>
      <c r="D228" s="4">
        <v>1</v>
      </c>
      <c r="E228"/>
    </row>
    <row r="229" spans="1:5" x14ac:dyDescent="0.25">
      <c r="A229" s="3">
        <v>1404</v>
      </c>
      <c r="B229" s="4">
        <v>20</v>
      </c>
      <c r="C229" s="3" t="s">
        <v>212</v>
      </c>
      <c r="D229" s="4">
        <v>1</v>
      </c>
      <c r="E229"/>
    </row>
    <row r="230" spans="1:5" x14ac:dyDescent="0.25">
      <c r="A230" s="3">
        <v>1462</v>
      </c>
      <c r="B230" s="4">
        <v>20</v>
      </c>
      <c r="C230" s="3" t="s">
        <v>213</v>
      </c>
      <c r="D230" s="4">
        <v>1</v>
      </c>
      <c r="E230"/>
    </row>
    <row r="231" spans="1:5" x14ac:dyDescent="0.25">
      <c r="A231" s="3">
        <v>1669</v>
      </c>
      <c r="B231" s="4">
        <v>20</v>
      </c>
      <c r="C231" s="3" t="s">
        <v>214</v>
      </c>
      <c r="D231" s="4"/>
      <c r="E231"/>
    </row>
    <row r="232" spans="1:5" x14ac:dyDescent="0.25">
      <c r="A232" s="3">
        <v>1394</v>
      </c>
      <c r="B232" s="4">
        <v>20</v>
      </c>
      <c r="C232" s="3" t="s">
        <v>215</v>
      </c>
      <c r="D232" s="4">
        <v>1</v>
      </c>
      <c r="E232"/>
    </row>
    <row r="233" spans="1:5" x14ac:dyDescent="0.25">
      <c r="A233" s="3">
        <v>1395</v>
      </c>
      <c r="B233" s="4">
        <v>25</v>
      </c>
      <c r="C233" s="3" t="s">
        <v>216</v>
      </c>
      <c r="D233" s="4"/>
      <c r="E233"/>
    </row>
    <row r="234" spans="1:5" x14ac:dyDescent="0.25">
      <c r="A234" s="3">
        <v>1424</v>
      </c>
      <c r="B234" s="4">
        <v>7</v>
      </c>
      <c r="C234" s="3" t="s">
        <v>217</v>
      </c>
      <c r="D234" s="4">
        <v>3.5</v>
      </c>
      <c r="E234"/>
    </row>
    <row r="235" spans="1:5" x14ac:dyDescent="0.25">
      <c r="A235" s="3">
        <v>1745</v>
      </c>
      <c r="B235" s="4">
        <v>5</v>
      </c>
      <c r="C235" s="3" t="s">
        <v>218</v>
      </c>
      <c r="D235" s="4">
        <v>2.5</v>
      </c>
      <c r="E235"/>
    </row>
    <row r="236" spans="1:5" x14ac:dyDescent="0.25">
      <c r="A236" s="3">
        <v>1734</v>
      </c>
      <c r="B236" s="4">
        <v>6</v>
      </c>
      <c r="C236" s="3" t="s">
        <v>219</v>
      </c>
      <c r="D236" s="4">
        <v>0.6</v>
      </c>
      <c r="E236"/>
    </row>
    <row r="237" spans="1:5" x14ac:dyDescent="0.25">
      <c r="A237" s="3">
        <v>1508</v>
      </c>
      <c r="B237" s="4">
        <v>3.6</v>
      </c>
      <c r="C237" s="3" t="s">
        <v>220</v>
      </c>
      <c r="D237" s="4">
        <v>0.6</v>
      </c>
      <c r="E237"/>
    </row>
    <row r="238" spans="1:5" x14ac:dyDescent="0.25">
      <c r="A238" s="3">
        <v>1733</v>
      </c>
      <c r="B238" s="4">
        <v>6</v>
      </c>
      <c r="C238" s="3" t="s">
        <v>221</v>
      </c>
      <c r="D238" s="4">
        <v>0.6</v>
      </c>
      <c r="E238"/>
    </row>
    <row r="239" spans="1:5" x14ac:dyDescent="0.25">
      <c r="A239" s="3">
        <v>1603</v>
      </c>
      <c r="B239" s="4">
        <v>3.6</v>
      </c>
      <c r="C239" s="3" t="s">
        <v>222</v>
      </c>
      <c r="D239" s="4">
        <v>0.6</v>
      </c>
      <c r="E239"/>
    </row>
    <row r="240" spans="1:5" x14ac:dyDescent="0.25">
      <c r="A240" s="3">
        <v>1329</v>
      </c>
      <c r="B240" s="4">
        <v>3.6</v>
      </c>
      <c r="C240" s="3" t="s">
        <v>223</v>
      </c>
      <c r="D240" s="4">
        <v>0.6</v>
      </c>
      <c r="E240"/>
    </row>
    <row r="241" spans="1:5" x14ac:dyDescent="0.25">
      <c r="A241" s="3">
        <v>1091</v>
      </c>
      <c r="B241" s="4">
        <v>3.9</v>
      </c>
      <c r="C241" s="3" t="s">
        <v>224</v>
      </c>
      <c r="D241" s="4">
        <v>0.65</v>
      </c>
      <c r="E241"/>
    </row>
    <row r="242" spans="1:5" x14ac:dyDescent="0.25">
      <c r="A242" s="3">
        <v>1735</v>
      </c>
      <c r="B242" s="4">
        <v>6</v>
      </c>
      <c r="C242" s="3" t="s">
        <v>225</v>
      </c>
      <c r="D242" s="4">
        <v>0.6</v>
      </c>
      <c r="E242"/>
    </row>
    <row r="243" spans="1:5" x14ac:dyDescent="0.25">
      <c r="A243" s="3">
        <v>1365</v>
      </c>
      <c r="B243" s="4">
        <v>3.6</v>
      </c>
      <c r="C243" s="3" t="s">
        <v>226</v>
      </c>
      <c r="D243" s="4"/>
      <c r="E243"/>
    </row>
    <row r="244" spans="1:5" x14ac:dyDescent="0.25">
      <c r="A244" s="3">
        <v>1101</v>
      </c>
      <c r="B244" s="4">
        <v>3.9</v>
      </c>
      <c r="C244" s="3" t="s">
        <v>227</v>
      </c>
      <c r="D244" s="4"/>
      <c r="E244"/>
    </row>
    <row r="245" spans="1:5" x14ac:dyDescent="0.25">
      <c r="A245" s="3">
        <v>1604</v>
      </c>
      <c r="B245" s="4">
        <v>3.6</v>
      </c>
      <c r="C245" s="3" t="s">
        <v>228</v>
      </c>
      <c r="D245" s="4"/>
      <c r="E245"/>
    </row>
    <row r="246" spans="1:5" x14ac:dyDescent="0.25">
      <c r="A246" s="3">
        <v>1534</v>
      </c>
      <c r="B246" s="4">
        <v>3.6</v>
      </c>
      <c r="C246" s="3" t="s">
        <v>229</v>
      </c>
      <c r="D246" s="4"/>
      <c r="E246"/>
    </row>
    <row r="247" spans="1:5" x14ac:dyDescent="0.25">
      <c r="A247" s="3">
        <v>1736</v>
      </c>
      <c r="B247" s="4">
        <v>6</v>
      </c>
      <c r="C247" s="3" t="s">
        <v>230</v>
      </c>
      <c r="D247" s="4">
        <v>0.6</v>
      </c>
      <c r="E247"/>
    </row>
    <row r="248" spans="1:5" x14ac:dyDescent="0.25">
      <c r="A248" s="3">
        <v>1102</v>
      </c>
      <c r="B248" s="4">
        <v>6</v>
      </c>
      <c r="C248" s="3" t="s">
        <v>231</v>
      </c>
      <c r="D248" s="4">
        <v>0.65</v>
      </c>
      <c r="E248"/>
    </row>
    <row r="249" spans="1:5" x14ac:dyDescent="0.25">
      <c r="A249" s="3">
        <v>1737</v>
      </c>
      <c r="B249" s="4">
        <v>6</v>
      </c>
      <c r="C249" s="3" t="s">
        <v>232</v>
      </c>
      <c r="D249" s="4">
        <v>0.6</v>
      </c>
      <c r="E249"/>
    </row>
    <row r="250" spans="1:5" x14ac:dyDescent="0.25">
      <c r="A250" s="3">
        <v>1449</v>
      </c>
      <c r="B250" s="4">
        <v>3.6</v>
      </c>
      <c r="C250" s="3" t="s">
        <v>233</v>
      </c>
      <c r="D250" s="4">
        <v>0.6</v>
      </c>
      <c r="E250"/>
    </row>
    <row r="251" spans="1:5" x14ac:dyDescent="0.25">
      <c r="A251" s="3">
        <v>1092</v>
      </c>
      <c r="B251" s="4">
        <v>3.9</v>
      </c>
      <c r="C251" s="3" t="s">
        <v>234</v>
      </c>
      <c r="D251" s="4">
        <v>0.65</v>
      </c>
      <c r="E251"/>
    </row>
    <row r="252" spans="1:5" x14ac:dyDescent="0.25">
      <c r="A252" s="3">
        <v>1509</v>
      </c>
      <c r="B252" s="4">
        <v>3.6</v>
      </c>
      <c r="C252" s="3" t="s">
        <v>235</v>
      </c>
      <c r="D252" s="4">
        <v>0.6</v>
      </c>
      <c r="E252"/>
    </row>
    <row r="253" spans="1:5" x14ac:dyDescent="0.25">
      <c r="A253" s="3">
        <v>1244</v>
      </c>
      <c r="B253" s="4">
        <v>20</v>
      </c>
      <c r="C253" s="3" t="s">
        <v>236</v>
      </c>
      <c r="D253" s="4"/>
      <c r="E253"/>
    </row>
    <row r="254" spans="1:5" x14ac:dyDescent="0.25">
      <c r="A254" s="3">
        <v>1188</v>
      </c>
      <c r="B254" s="4">
        <v>20</v>
      </c>
      <c r="C254" s="3" t="s">
        <v>237</v>
      </c>
      <c r="D254" s="4"/>
      <c r="E254"/>
    </row>
    <row r="255" spans="1:5" x14ac:dyDescent="0.25">
      <c r="A255" s="3">
        <v>1672</v>
      </c>
      <c r="B255" s="4">
        <v>27</v>
      </c>
      <c r="C255" s="3" t="s">
        <v>238</v>
      </c>
      <c r="D255" s="4"/>
      <c r="E255"/>
    </row>
    <row r="256" spans="1:5" x14ac:dyDescent="0.25">
      <c r="A256" s="3">
        <v>1381</v>
      </c>
      <c r="B256" s="4">
        <v>20</v>
      </c>
      <c r="C256" s="3" t="s">
        <v>239</v>
      </c>
      <c r="D256" s="4">
        <f>20/4</f>
        <v>5</v>
      </c>
      <c r="E256"/>
    </row>
    <row r="257" spans="1:5" x14ac:dyDescent="0.25">
      <c r="A257" s="3">
        <v>1058</v>
      </c>
      <c r="B257" s="4">
        <v>5.04</v>
      </c>
      <c r="C257" s="3" t="s">
        <v>240</v>
      </c>
      <c r="D257" s="4"/>
      <c r="E257"/>
    </row>
    <row r="258" spans="1:5" x14ac:dyDescent="0.25">
      <c r="A258" s="3">
        <v>1664</v>
      </c>
      <c r="B258" s="4">
        <v>20</v>
      </c>
      <c r="C258" s="3" t="s">
        <v>241</v>
      </c>
      <c r="D258" s="4">
        <f>20/4</f>
        <v>5</v>
      </c>
      <c r="E258"/>
    </row>
    <row r="259" spans="1:5" x14ac:dyDescent="0.25">
      <c r="A259" s="3">
        <v>1162</v>
      </c>
      <c r="B259" s="4">
        <v>6</v>
      </c>
      <c r="C259" s="3" t="s">
        <v>242</v>
      </c>
      <c r="D259" s="4"/>
      <c r="E259"/>
    </row>
    <row r="260" spans="1:5" x14ac:dyDescent="0.25">
      <c r="A260" s="3">
        <v>1417</v>
      </c>
      <c r="B260" s="4">
        <v>20</v>
      </c>
      <c r="C260" s="3" t="s">
        <v>243</v>
      </c>
      <c r="D260" s="4">
        <f>20/4</f>
        <v>5</v>
      </c>
      <c r="E260"/>
    </row>
    <row r="261" spans="1:5" x14ac:dyDescent="0.25">
      <c r="A261" s="3">
        <v>1512</v>
      </c>
      <c r="B261" s="4">
        <v>10</v>
      </c>
      <c r="C261" s="3" t="s">
        <v>244</v>
      </c>
      <c r="D261" s="4">
        <v>2.5</v>
      </c>
      <c r="E261"/>
    </row>
    <row r="262" spans="1:5" x14ac:dyDescent="0.25">
      <c r="A262" s="3">
        <v>1723</v>
      </c>
      <c r="B262" s="4">
        <v>5</v>
      </c>
      <c r="C262" s="3" t="s">
        <v>245</v>
      </c>
      <c r="D262" s="4">
        <v>0.5</v>
      </c>
      <c r="E262"/>
    </row>
    <row r="263" spans="1:5" x14ac:dyDescent="0.25">
      <c r="A263" s="3">
        <v>1454</v>
      </c>
      <c r="B263" s="4">
        <v>15</v>
      </c>
      <c r="C263" s="3" t="s">
        <v>246</v>
      </c>
      <c r="D263" s="4">
        <v>2.5</v>
      </c>
      <c r="E263"/>
    </row>
    <row r="264" spans="1:5" x14ac:dyDescent="0.25">
      <c r="A264" s="3">
        <v>1208</v>
      </c>
      <c r="B264" s="4">
        <v>10</v>
      </c>
      <c r="C264" s="3" t="s">
        <v>247</v>
      </c>
      <c r="D264" s="4">
        <v>2.5</v>
      </c>
      <c r="E264"/>
    </row>
    <row r="265" spans="1:5" x14ac:dyDescent="0.25">
      <c r="A265" s="3">
        <v>1703</v>
      </c>
      <c r="B265" s="4">
        <v>10</v>
      </c>
      <c r="C265" s="3" t="s">
        <v>247</v>
      </c>
      <c r="D265" s="4">
        <v>2.5</v>
      </c>
      <c r="E265"/>
    </row>
    <row r="266" spans="1:5" x14ac:dyDescent="0.25">
      <c r="A266" s="3">
        <v>1629</v>
      </c>
      <c r="B266" s="4">
        <v>10</v>
      </c>
      <c r="C266" s="3" t="s">
        <v>248</v>
      </c>
      <c r="D266" s="4">
        <v>2.5</v>
      </c>
      <c r="E266"/>
    </row>
    <row r="267" spans="1:5" x14ac:dyDescent="0.25">
      <c r="A267" s="3">
        <v>1548</v>
      </c>
      <c r="B267" s="4">
        <v>8</v>
      </c>
      <c r="C267" s="3" t="s">
        <v>249</v>
      </c>
      <c r="D267" s="4">
        <v>1</v>
      </c>
      <c r="E267"/>
    </row>
    <row r="268" spans="1:5" x14ac:dyDescent="0.25">
      <c r="A268" s="3">
        <v>1425</v>
      </c>
      <c r="B268" s="4">
        <v>12.5</v>
      </c>
      <c r="C268" s="3" t="s">
        <v>250</v>
      </c>
      <c r="D268" s="4"/>
      <c r="E268"/>
    </row>
    <row r="269" spans="1:5" x14ac:dyDescent="0.25">
      <c r="A269" s="3">
        <v>1887</v>
      </c>
      <c r="B269" s="4">
        <v>12</v>
      </c>
      <c r="C269" s="3" t="s">
        <v>251</v>
      </c>
      <c r="D269" s="4">
        <v>1</v>
      </c>
      <c r="E269"/>
    </row>
    <row r="270" spans="1:5" x14ac:dyDescent="0.25">
      <c r="A270" s="3">
        <v>1469</v>
      </c>
      <c r="B270" s="4">
        <v>20</v>
      </c>
      <c r="C270" s="3" t="s">
        <v>252</v>
      </c>
      <c r="D270" s="4">
        <v>5</v>
      </c>
      <c r="E270"/>
    </row>
    <row r="271" spans="1:5" x14ac:dyDescent="0.25">
      <c r="A271" s="3">
        <v>1724</v>
      </c>
      <c r="B271" s="4">
        <v>20</v>
      </c>
      <c r="C271" s="3" t="s">
        <v>253</v>
      </c>
      <c r="D271" s="4">
        <v>1</v>
      </c>
      <c r="E271"/>
    </row>
    <row r="272" spans="1:5" x14ac:dyDescent="0.25">
      <c r="A272" s="3">
        <v>1426</v>
      </c>
      <c r="B272" s="4">
        <v>20</v>
      </c>
      <c r="C272" s="3" t="s">
        <v>254</v>
      </c>
      <c r="D272" s="4"/>
      <c r="E272"/>
    </row>
    <row r="273" spans="1:5" x14ac:dyDescent="0.25">
      <c r="A273" s="3">
        <v>1581</v>
      </c>
      <c r="B273" s="4">
        <v>10</v>
      </c>
      <c r="C273" s="3" t="s">
        <v>255</v>
      </c>
      <c r="D273" s="4">
        <v>5</v>
      </c>
      <c r="E273"/>
    </row>
    <row r="274" spans="1:5" x14ac:dyDescent="0.25">
      <c r="A274" s="3">
        <v>1886</v>
      </c>
      <c r="B274" s="4">
        <v>12</v>
      </c>
      <c r="C274" s="3" t="s">
        <v>256</v>
      </c>
      <c r="D274" s="4">
        <v>2</v>
      </c>
      <c r="E274"/>
    </row>
    <row r="275" spans="1:5" x14ac:dyDescent="0.25">
      <c r="A275" s="3">
        <v>1427</v>
      </c>
      <c r="B275" s="4">
        <v>15</v>
      </c>
      <c r="C275" s="3" t="s">
        <v>257</v>
      </c>
      <c r="D275" s="4">
        <v>1</v>
      </c>
      <c r="E275"/>
    </row>
    <row r="276" spans="1:5" x14ac:dyDescent="0.25">
      <c r="A276" s="3">
        <v>1140</v>
      </c>
      <c r="B276" s="4">
        <v>20</v>
      </c>
      <c r="C276" s="3" t="s">
        <v>258</v>
      </c>
      <c r="D276" s="4">
        <v>1</v>
      </c>
      <c r="E276"/>
    </row>
    <row r="277" spans="1:5" x14ac:dyDescent="0.25">
      <c r="A277" s="3">
        <v>1025</v>
      </c>
      <c r="B277" s="4">
        <v>20</v>
      </c>
      <c r="C277" s="3" t="s">
        <v>259</v>
      </c>
      <c r="D277" s="4"/>
      <c r="E277"/>
    </row>
    <row r="278" spans="1:5" x14ac:dyDescent="0.25">
      <c r="A278" s="3">
        <v>1402</v>
      </c>
      <c r="B278" s="4">
        <v>15</v>
      </c>
      <c r="C278" s="3" t="s">
        <v>260</v>
      </c>
      <c r="D278" s="4"/>
      <c r="E278"/>
    </row>
    <row r="279" spans="1:5" x14ac:dyDescent="0.25">
      <c r="A279" s="3">
        <v>1555</v>
      </c>
      <c r="B279" s="4">
        <v>9.6</v>
      </c>
      <c r="C279" s="3" t="s">
        <v>261</v>
      </c>
      <c r="D279" s="4">
        <v>0.8</v>
      </c>
      <c r="E279"/>
    </row>
    <row r="280" spans="1:5" x14ac:dyDescent="0.25">
      <c r="A280" s="3">
        <v>1594</v>
      </c>
      <c r="B280" s="4">
        <v>20</v>
      </c>
      <c r="C280" s="3" t="s">
        <v>262</v>
      </c>
      <c r="D280" s="4">
        <v>5</v>
      </c>
      <c r="E280"/>
    </row>
    <row r="281" spans="1:5" x14ac:dyDescent="0.25">
      <c r="A281" s="3">
        <v>1720</v>
      </c>
      <c r="B281" s="4">
        <v>20</v>
      </c>
      <c r="C281" s="3" t="s">
        <v>263</v>
      </c>
      <c r="D281" s="4">
        <v>5</v>
      </c>
      <c r="E281"/>
    </row>
    <row r="282" spans="1:5" x14ac:dyDescent="0.25">
      <c r="A282" s="3">
        <v>1719</v>
      </c>
      <c r="B282" s="4">
        <v>20</v>
      </c>
      <c r="C282" s="3" t="s">
        <v>264</v>
      </c>
      <c r="D282" s="4">
        <v>2.5</v>
      </c>
      <c r="E282"/>
    </row>
    <row r="283" spans="1:5" x14ac:dyDescent="0.25">
      <c r="A283" s="3">
        <v>1320</v>
      </c>
      <c r="B283" s="4">
        <v>15</v>
      </c>
      <c r="C283" s="3" t="s">
        <v>265</v>
      </c>
      <c r="D283" s="4">
        <v>0.8</v>
      </c>
      <c r="E283"/>
    </row>
    <row r="284" spans="1:5" x14ac:dyDescent="0.25">
      <c r="A284" s="3">
        <v>1725</v>
      </c>
      <c r="B284" s="4">
        <v>20</v>
      </c>
      <c r="C284" s="3" t="s">
        <v>266</v>
      </c>
      <c r="D284" s="4">
        <v>1</v>
      </c>
      <c r="E284"/>
    </row>
    <row r="285" spans="1:5" x14ac:dyDescent="0.25">
      <c r="A285" s="3">
        <v>1578</v>
      </c>
      <c r="B285" s="4">
        <v>18</v>
      </c>
      <c r="C285" s="3" t="s">
        <v>267</v>
      </c>
      <c r="D285" s="4">
        <v>1</v>
      </c>
      <c r="E285"/>
    </row>
    <row r="286" spans="1:5" x14ac:dyDescent="0.25">
      <c r="A286" s="3">
        <v>1337</v>
      </c>
      <c r="B286" s="4">
        <v>15</v>
      </c>
      <c r="C286" s="3" t="s">
        <v>268</v>
      </c>
      <c r="D286" s="4">
        <v>1</v>
      </c>
      <c r="E286"/>
    </row>
    <row r="287" spans="1:5" x14ac:dyDescent="0.25">
      <c r="A287" s="3">
        <v>1060</v>
      </c>
      <c r="B287" s="4">
        <v>5</v>
      </c>
      <c r="C287" s="3" t="s">
        <v>269</v>
      </c>
      <c r="D287" s="4"/>
      <c r="E287"/>
    </row>
    <row r="288" spans="1:5" x14ac:dyDescent="0.25">
      <c r="A288" s="3">
        <v>1613</v>
      </c>
      <c r="B288" s="4">
        <v>5</v>
      </c>
      <c r="C288" s="3" t="s">
        <v>270</v>
      </c>
      <c r="D288" s="4"/>
      <c r="E288"/>
    </row>
    <row r="289" spans="1:5" x14ac:dyDescent="0.25">
      <c r="A289" s="3">
        <v>1889</v>
      </c>
      <c r="B289" s="4">
        <v>6.4</v>
      </c>
      <c r="C289" s="3" t="s">
        <v>271</v>
      </c>
      <c r="D289" s="4">
        <v>0.8</v>
      </c>
      <c r="E289"/>
    </row>
    <row r="290" spans="1:5" x14ac:dyDescent="0.25">
      <c r="A290" s="3">
        <v>1812</v>
      </c>
      <c r="B290" s="4">
        <v>4.8</v>
      </c>
      <c r="C290" s="3" t="s">
        <v>272</v>
      </c>
      <c r="D290" s="4">
        <v>0.8</v>
      </c>
      <c r="E290"/>
    </row>
    <row r="291" spans="1:5" x14ac:dyDescent="0.25">
      <c r="A291" s="3">
        <v>1888</v>
      </c>
      <c r="B291" s="4">
        <v>6.4</v>
      </c>
      <c r="C291" s="3" t="s">
        <v>273</v>
      </c>
      <c r="D291" s="4">
        <v>0.8</v>
      </c>
      <c r="E291"/>
    </row>
    <row r="292" spans="1:5" x14ac:dyDescent="0.25">
      <c r="A292" s="3">
        <v>1721</v>
      </c>
      <c r="B292" s="4">
        <v>20</v>
      </c>
      <c r="C292" s="3" t="s">
        <v>274</v>
      </c>
      <c r="D292" s="4">
        <v>5</v>
      </c>
      <c r="E292"/>
    </row>
    <row r="293" spans="1:5" x14ac:dyDescent="0.25">
      <c r="A293" s="3">
        <v>1088</v>
      </c>
      <c r="B293" s="4">
        <v>20</v>
      </c>
      <c r="C293" s="3" t="s">
        <v>275</v>
      </c>
      <c r="D293" s="4">
        <v>2.5</v>
      </c>
      <c r="E293"/>
    </row>
    <row r="294" spans="1:5" x14ac:dyDescent="0.25">
      <c r="A294" s="3">
        <v>1207</v>
      </c>
      <c r="B294" s="4">
        <v>5.04</v>
      </c>
      <c r="C294" s="3" t="s">
        <v>276</v>
      </c>
      <c r="D294" s="4"/>
      <c r="E294"/>
    </row>
    <row r="295" spans="1:5" x14ac:dyDescent="0.25">
      <c r="A295" s="3">
        <v>1200</v>
      </c>
      <c r="B295" s="4">
        <v>6</v>
      </c>
      <c r="C295" s="3" t="s">
        <v>277</v>
      </c>
      <c r="D295" s="4">
        <v>3</v>
      </c>
      <c r="E295"/>
    </row>
    <row r="296" spans="1:5" x14ac:dyDescent="0.25">
      <c r="A296" s="3">
        <v>1608</v>
      </c>
      <c r="B296" s="4">
        <v>15</v>
      </c>
      <c r="C296" s="3" t="s">
        <v>278</v>
      </c>
      <c r="D296" s="4">
        <v>2.5</v>
      </c>
      <c r="E296"/>
    </row>
    <row r="297" spans="1:5" x14ac:dyDescent="0.25">
      <c r="A297" s="3">
        <v>1715</v>
      </c>
      <c r="B297" s="4">
        <v>10.35</v>
      </c>
      <c r="C297" s="3" t="s">
        <v>279</v>
      </c>
      <c r="D297" s="4">
        <v>0.45</v>
      </c>
      <c r="E297"/>
    </row>
    <row r="298" spans="1:5" x14ac:dyDescent="0.25">
      <c r="A298" s="3">
        <v>1876</v>
      </c>
      <c r="B298" s="4">
        <v>20</v>
      </c>
      <c r="C298" s="3" t="s">
        <v>280</v>
      </c>
      <c r="D298" s="4">
        <v>1</v>
      </c>
      <c r="E298"/>
    </row>
    <row r="299" spans="1:5" x14ac:dyDescent="0.25">
      <c r="A299" s="3">
        <v>1679</v>
      </c>
      <c r="B299" s="4">
        <v>25</v>
      </c>
      <c r="C299" s="3" t="s">
        <v>281</v>
      </c>
      <c r="D299" s="4">
        <v>5</v>
      </c>
      <c r="E299"/>
    </row>
    <row r="300" spans="1:5" x14ac:dyDescent="0.25">
      <c r="A300" s="3">
        <v>1326</v>
      </c>
      <c r="B300" s="4">
        <v>25</v>
      </c>
      <c r="C300" s="3" t="s">
        <v>282</v>
      </c>
      <c r="D300" s="4">
        <v>5</v>
      </c>
      <c r="E300"/>
    </row>
    <row r="301" spans="1:5" x14ac:dyDescent="0.25">
      <c r="A301" s="3">
        <v>1517</v>
      </c>
      <c r="B301" s="4">
        <v>15</v>
      </c>
      <c r="C301" s="3" t="s">
        <v>283</v>
      </c>
      <c r="D301" s="4"/>
      <c r="E301"/>
    </row>
    <row r="302" spans="1:5" x14ac:dyDescent="0.25">
      <c r="A302" s="3">
        <v>1346</v>
      </c>
      <c r="B302" s="4">
        <v>15</v>
      </c>
      <c r="C302" s="3" t="s">
        <v>284</v>
      </c>
      <c r="D302" s="4">
        <f>15/3</f>
        <v>5</v>
      </c>
      <c r="E302"/>
    </row>
    <row r="303" spans="1:5" x14ac:dyDescent="0.25">
      <c r="A303" s="3">
        <v>1340</v>
      </c>
      <c r="B303" s="4">
        <v>18</v>
      </c>
      <c r="C303" s="3" t="s">
        <v>285</v>
      </c>
      <c r="D303" s="4">
        <v>4.5</v>
      </c>
      <c r="E303"/>
    </row>
    <row r="304" spans="1:5" x14ac:dyDescent="0.25">
      <c r="A304" s="3">
        <v>1263</v>
      </c>
      <c r="B304" s="4">
        <v>15</v>
      </c>
      <c r="C304" s="3" t="s">
        <v>286</v>
      </c>
      <c r="D304" s="4">
        <v>2.5</v>
      </c>
      <c r="E304"/>
    </row>
    <row r="305" spans="1:5" x14ac:dyDescent="0.25">
      <c r="A305" s="3">
        <v>1744</v>
      </c>
      <c r="B305" s="4">
        <v>6</v>
      </c>
      <c r="C305" s="3" t="s">
        <v>287</v>
      </c>
      <c r="D305" s="4">
        <v>3</v>
      </c>
      <c r="E305"/>
    </row>
    <row r="306" spans="1:5" x14ac:dyDescent="0.25">
      <c r="A306" s="3">
        <v>1774</v>
      </c>
      <c r="B306" s="4">
        <v>6</v>
      </c>
      <c r="C306" s="3" t="s">
        <v>288</v>
      </c>
      <c r="D306" s="4">
        <v>3</v>
      </c>
      <c r="E306"/>
    </row>
    <row r="307" spans="1:5" x14ac:dyDescent="0.25">
      <c r="A307" s="3">
        <v>1196</v>
      </c>
      <c r="B307" s="4">
        <v>6</v>
      </c>
      <c r="C307" s="3" t="s">
        <v>289</v>
      </c>
      <c r="D307" s="4">
        <v>0.5</v>
      </c>
      <c r="E307"/>
    </row>
    <row r="308" spans="1:5" x14ac:dyDescent="0.25">
      <c r="A308" s="3">
        <v>1743</v>
      </c>
      <c r="B308" s="4">
        <v>10</v>
      </c>
      <c r="C308" s="3" t="s">
        <v>290</v>
      </c>
      <c r="D308" s="4">
        <v>2.5</v>
      </c>
      <c r="E308"/>
    </row>
    <row r="309" spans="1:5" x14ac:dyDescent="0.25">
      <c r="A309" s="3">
        <v>1253</v>
      </c>
      <c r="B309" s="4">
        <v>15</v>
      </c>
      <c r="C309" s="3" t="s">
        <v>291</v>
      </c>
      <c r="D309" s="4">
        <v>2.5</v>
      </c>
      <c r="E309"/>
    </row>
    <row r="310" spans="1:5" x14ac:dyDescent="0.25">
      <c r="A310" s="3">
        <v>1546</v>
      </c>
      <c r="B310" s="4">
        <v>9</v>
      </c>
      <c r="C310" s="3" t="s">
        <v>292</v>
      </c>
      <c r="D310" s="4">
        <v>0.6</v>
      </c>
      <c r="E310"/>
    </row>
    <row r="311" spans="1:5" x14ac:dyDescent="0.25">
      <c r="A311" s="3">
        <v>1288</v>
      </c>
      <c r="B311" s="4">
        <v>15</v>
      </c>
      <c r="C311" s="3" t="s">
        <v>293</v>
      </c>
      <c r="D311" s="4">
        <v>5</v>
      </c>
      <c r="E311"/>
    </row>
    <row r="312" spans="1:5" x14ac:dyDescent="0.25">
      <c r="A312" s="3">
        <v>1632</v>
      </c>
      <c r="B312" s="4">
        <v>9</v>
      </c>
      <c r="C312" s="3" t="s">
        <v>294</v>
      </c>
      <c r="D312" s="4">
        <v>3</v>
      </c>
      <c r="E312"/>
    </row>
    <row r="313" spans="1:5" x14ac:dyDescent="0.25">
      <c r="A313" s="3">
        <v>1863</v>
      </c>
      <c r="B313" s="4">
        <v>7.2</v>
      </c>
      <c r="C313" s="3" t="s">
        <v>295</v>
      </c>
      <c r="D313" s="4">
        <v>0.6</v>
      </c>
      <c r="E313"/>
    </row>
    <row r="314" spans="1:5" x14ac:dyDescent="0.25">
      <c r="A314" s="3">
        <v>1684</v>
      </c>
      <c r="B314" s="4">
        <f>4*4.5</f>
        <v>18</v>
      </c>
      <c r="C314" s="3" t="s">
        <v>296</v>
      </c>
      <c r="D314" s="4">
        <v>4.5</v>
      </c>
      <c r="E314"/>
    </row>
    <row r="315" spans="1:5" x14ac:dyDescent="0.25">
      <c r="A315" s="3">
        <v>1799</v>
      </c>
      <c r="B315" s="4">
        <v>18</v>
      </c>
      <c r="C315" s="3" t="s">
        <v>297</v>
      </c>
      <c r="D315" s="4">
        <v>4.5</v>
      </c>
      <c r="E315"/>
    </row>
    <row r="316" spans="1:5" x14ac:dyDescent="0.25">
      <c r="A316" s="3">
        <v>1435</v>
      </c>
      <c r="B316" s="4">
        <v>9</v>
      </c>
      <c r="C316" s="3" t="s">
        <v>298</v>
      </c>
      <c r="D316" s="4">
        <v>0.6</v>
      </c>
      <c r="E316"/>
    </row>
    <row r="317" spans="1:5" x14ac:dyDescent="0.25">
      <c r="A317" s="3">
        <v>1633</v>
      </c>
      <c r="B317" s="4">
        <v>10</v>
      </c>
      <c r="C317" s="3" t="s">
        <v>299</v>
      </c>
      <c r="D317" s="4">
        <v>1</v>
      </c>
      <c r="E317"/>
    </row>
    <row r="318" spans="1:5" x14ac:dyDescent="0.25">
      <c r="A318" s="3">
        <v>1656</v>
      </c>
      <c r="B318" s="4">
        <v>9</v>
      </c>
      <c r="C318" s="3" t="s">
        <v>300</v>
      </c>
      <c r="D318" s="4">
        <v>3</v>
      </c>
      <c r="E318"/>
    </row>
    <row r="319" spans="1:5" x14ac:dyDescent="0.25">
      <c r="A319" s="3">
        <v>1824</v>
      </c>
      <c r="B319" s="4">
        <v>20</v>
      </c>
      <c r="C319" s="3" t="s">
        <v>301</v>
      </c>
      <c r="D319" s="4">
        <v>5</v>
      </c>
      <c r="E319"/>
    </row>
    <row r="320" spans="1:5" x14ac:dyDescent="0.25">
      <c r="A320" s="3">
        <v>1529</v>
      </c>
      <c r="B320" s="4">
        <v>12</v>
      </c>
      <c r="C320" s="3" t="s">
        <v>302</v>
      </c>
      <c r="D320" s="4">
        <v>3</v>
      </c>
      <c r="E320"/>
    </row>
    <row r="321" spans="1:5" x14ac:dyDescent="0.25">
      <c r="A321" s="3">
        <v>1714</v>
      </c>
      <c r="B321" s="4">
        <v>8</v>
      </c>
      <c r="C321" s="3" t="s">
        <v>303</v>
      </c>
      <c r="D321" s="4">
        <v>1</v>
      </c>
      <c r="E321"/>
    </row>
    <row r="322" spans="1:5" x14ac:dyDescent="0.25">
      <c r="A322" s="3">
        <v>1029</v>
      </c>
      <c r="B322" s="4">
        <v>10</v>
      </c>
      <c r="C322" s="3" t="s">
        <v>304</v>
      </c>
      <c r="D322" s="4">
        <v>5</v>
      </c>
      <c r="E322"/>
    </row>
    <row r="323" spans="1:5" x14ac:dyDescent="0.25">
      <c r="A323" s="3">
        <v>1849</v>
      </c>
      <c r="B323" s="4">
        <v>12</v>
      </c>
      <c r="C323" s="3" t="s">
        <v>305</v>
      </c>
      <c r="D323" s="4">
        <v>1</v>
      </c>
      <c r="E323"/>
    </row>
    <row r="324" spans="1:5" x14ac:dyDescent="0.25">
      <c r="A324" s="3">
        <v>1437</v>
      </c>
      <c r="B324" s="4">
        <v>15</v>
      </c>
      <c r="C324" s="3" t="s">
        <v>306</v>
      </c>
      <c r="D324" s="4">
        <v>1</v>
      </c>
      <c r="E324"/>
    </row>
    <row r="325" spans="1:5" x14ac:dyDescent="0.25">
      <c r="A325" s="3">
        <v>1712</v>
      </c>
      <c r="B325" s="4">
        <v>10</v>
      </c>
      <c r="C325" s="3" t="s">
        <v>307</v>
      </c>
      <c r="D325" s="4"/>
      <c r="E325"/>
    </row>
    <row r="326" spans="1:5" x14ac:dyDescent="0.25">
      <c r="A326" s="3">
        <v>1648</v>
      </c>
      <c r="B326" s="4">
        <v>2.4</v>
      </c>
      <c r="C326" s="3" t="s">
        <v>308</v>
      </c>
      <c r="D326" s="4">
        <v>0.2</v>
      </c>
      <c r="E326"/>
    </row>
    <row r="327" spans="1:5" x14ac:dyDescent="0.25">
      <c r="A327" s="3">
        <v>1867</v>
      </c>
      <c r="B327" s="4">
        <v>3</v>
      </c>
      <c r="C327" s="3" t="s">
        <v>309</v>
      </c>
      <c r="D327" s="4">
        <v>0.5</v>
      </c>
      <c r="E327"/>
    </row>
    <row r="328" spans="1:5" x14ac:dyDescent="0.25">
      <c r="A328" s="3">
        <v>1649</v>
      </c>
      <c r="B328" s="4">
        <v>2.4</v>
      </c>
      <c r="C328" s="3" t="s">
        <v>310</v>
      </c>
      <c r="D328" s="4">
        <v>0.2</v>
      </c>
      <c r="E328"/>
    </row>
    <row r="329" spans="1:5" x14ac:dyDescent="0.25">
      <c r="A329" s="3">
        <v>1539</v>
      </c>
      <c r="B329" s="4">
        <v>2.4</v>
      </c>
      <c r="C329" s="3" t="s">
        <v>311</v>
      </c>
      <c r="D329" s="4">
        <v>0.2</v>
      </c>
      <c r="E329"/>
    </row>
    <row r="330" spans="1:5" x14ac:dyDescent="0.25">
      <c r="A330" s="3">
        <v>1175</v>
      </c>
      <c r="B330" s="4">
        <v>6</v>
      </c>
      <c r="C330" s="3" t="s">
        <v>312</v>
      </c>
      <c r="D330" s="4">
        <v>0.25</v>
      </c>
      <c r="E330"/>
    </row>
    <row r="331" spans="1:5" x14ac:dyDescent="0.25">
      <c r="A331" s="3">
        <v>1245</v>
      </c>
      <c r="B331" s="4">
        <v>6</v>
      </c>
      <c r="C331" s="3" t="s">
        <v>313</v>
      </c>
      <c r="D331" s="4">
        <v>0.5</v>
      </c>
      <c r="E331"/>
    </row>
    <row r="332" spans="1:5" x14ac:dyDescent="0.25">
      <c r="A332" s="3">
        <v>1105</v>
      </c>
      <c r="B332" s="4">
        <v>8</v>
      </c>
      <c r="C332" s="3" t="s">
        <v>314</v>
      </c>
      <c r="D332" s="4"/>
      <c r="E332"/>
    </row>
    <row r="333" spans="1:5" x14ac:dyDescent="0.25">
      <c r="A333" s="3">
        <v>1044</v>
      </c>
      <c r="B333" s="4">
        <v>8</v>
      </c>
      <c r="C333" s="3" t="s">
        <v>315</v>
      </c>
      <c r="D333" s="4"/>
      <c r="E333"/>
    </row>
    <row r="334" spans="1:5" x14ac:dyDescent="0.25">
      <c r="A334" s="3">
        <v>1773</v>
      </c>
      <c r="B334" s="4">
        <v>43</v>
      </c>
      <c r="C334" s="3" t="s">
        <v>316</v>
      </c>
      <c r="D334" s="4"/>
      <c r="E334"/>
    </row>
    <row r="335" spans="1:5" x14ac:dyDescent="0.25">
      <c r="A335" s="3">
        <v>1466</v>
      </c>
      <c r="B335" s="4">
        <v>12</v>
      </c>
      <c r="C335" s="3" t="s">
        <v>317</v>
      </c>
      <c r="D335" s="4">
        <v>1</v>
      </c>
      <c r="E335"/>
    </row>
    <row r="336" spans="1:5" x14ac:dyDescent="0.25">
      <c r="A336" s="3">
        <v>1653</v>
      </c>
      <c r="B336" s="4">
        <v>12</v>
      </c>
      <c r="C336" s="3" t="s">
        <v>317</v>
      </c>
      <c r="D336" s="4">
        <v>1</v>
      </c>
      <c r="E336"/>
    </row>
    <row r="337" spans="1:5" x14ac:dyDescent="0.25">
      <c r="A337" s="3">
        <v>1428</v>
      </c>
      <c r="B337" s="4">
        <v>12</v>
      </c>
      <c r="C337" s="3" t="s">
        <v>318</v>
      </c>
      <c r="D337" s="4"/>
      <c r="E337"/>
    </row>
    <row r="338" spans="1:5" x14ac:dyDescent="0.25">
      <c r="A338" s="3">
        <v>1832</v>
      </c>
      <c r="B338" s="4">
        <v>18</v>
      </c>
      <c r="C338" s="3" t="s">
        <v>319</v>
      </c>
      <c r="D338" s="4"/>
      <c r="E338"/>
    </row>
    <row r="339" spans="1:5" x14ac:dyDescent="0.25">
      <c r="A339" s="3">
        <v>1843</v>
      </c>
      <c r="B339" s="4">
        <v>10</v>
      </c>
      <c r="C339" s="3" t="s">
        <v>320</v>
      </c>
      <c r="D339" s="4">
        <v>1</v>
      </c>
      <c r="E339"/>
    </row>
    <row r="340" spans="1:5" x14ac:dyDescent="0.25">
      <c r="A340" s="3">
        <v>1467</v>
      </c>
      <c r="B340" s="4">
        <v>12</v>
      </c>
      <c r="C340" s="3" t="s">
        <v>321</v>
      </c>
      <c r="D340" s="4"/>
      <c r="E340"/>
    </row>
    <row r="341" spans="1:5" x14ac:dyDescent="0.25">
      <c r="A341" s="3">
        <v>1691</v>
      </c>
      <c r="B341" s="4">
        <v>12</v>
      </c>
      <c r="C341" s="3" t="s">
        <v>321</v>
      </c>
      <c r="D341" s="4"/>
      <c r="E341"/>
    </row>
    <row r="342" spans="1:5" x14ac:dyDescent="0.25">
      <c r="A342" s="3">
        <v>1815</v>
      </c>
      <c r="B342" s="4">
        <v>18</v>
      </c>
      <c r="C342" s="3" t="s">
        <v>322</v>
      </c>
      <c r="D342" s="4">
        <v>1</v>
      </c>
      <c r="E342"/>
    </row>
    <row r="343" spans="1:5" x14ac:dyDescent="0.25">
      <c r="A343" s="3">
        <v>1761</v>
      </c>
      <c r="B343" s="4">
        <v>12</v>
      </c>
      <c r="C343" s="3" t="s">
        <v>323</v>
      </c>
      <c r="D343" s="4">
        <v>1</v>
      </c>
      <c r="E343"/>
    </row>
    <row r="344" spans="1:5" x14ac:dyDescent="0.25">
      <c r="A344" s="3">
        <v>1590</v>
      </c>
      <c r="B344" s="4">
        <v>12</v>
      </c>
      <c r="C344" s="3" t="s">
        <v>324</v>
      </c>
      <c r="D344" s="4">
        <v>1</v>
      </c>
      <c r="E344"/>
    </row>
    <row r="345" spans="1:5" x14ac:dyDescent="0.25">
      <c r="A345" s="3">
        <v>1716</v>
      </c>
      <c r="B345" s="4">
        <v>9</v>
      </c>
      <c r="C345" s="3" t="s">
        <v>325</v>
      </c>
      <c r="D345" s="4">
        <v>0.75</v>
      </c>
      <c r="E345"/>
    </row>
    <row r="346" spans="1:5" x14ac:dyDescent="0.25">
      <c r="A346" s="3">
        <v>1657</v>
      </c>
      <c r="B346" s="4">
        <v>15.5</v>
      </c>
      <c r="C346" s="3" t="s">
        <v>326</v>
      </c>
      <c r="D346" s="4">
        <f>15.5/3</f>
        <v>5.166666666666667</v>
      </c>
      <c r="E346"/>
    </row>
    <row r="347" spans="1:5" x14ac:dyDescent="0.25">
      <c r="A347" s="3">
        <v>1811</v>
      </c>
      <c r="B347" s="4">
        <v>10.5</v>
      </c>
      <c r="C347" s="3" t="s">
        <v>327</v>
      </c>
      <c r="D347" s="4"/>
      <c r="E347"/>
    </row>
    <row r="348" spans="1:5" x14ac:dyDescent="0.25">
      <c r="A348" s="3">
        <v>1883</v>
      </c>
      <c r="B348" s="4">
        <v>7.1</v>
      </c>
      <c r="C348" s="3" t="s">
        <v>328</v>
      </c>
      <c r="D348" s="4">
        <v>3.55</v>
      </c>
      <c r="E348"/>
    </row>
    <row r="349" spans="1:5" x14ac:dyDescent="0.25">
      <c r="A349" s="3">
        <v>1900</v>
      </c>
      <c r="B349" s="4">
        <v>10</v>
      </c>
      <c r="C349" s="3" t="s">
        <v>329</v>
      </c>
      <c r="D349" s="4">
        <v>1</v>
      </c>
      <c r="E349"/>
    </row>
    <row r="350" spans="1:5" x14ac:dyDescent="0.25">
      <c r="A350" s="3">
        <v>1215</v>
      </c>
      <c r="B350" s="4">
        <v>9</v>
      </c>
      <c r="C350" s="3" t="s">
        <v>330</v>
      </c>
      <c r="D350" s="4">
        <v>0.5</v>
      </c>
      <c r="E350"/>
    </row>
    <row r="351" spans="1:5" x14ac:dyDescent="0.25">
      <c r="A351" s="3">
        <v>1475</v>
      </c>
      <c r="B351" s="4">
        <v>18</v>
      </c>
      <c r="C351" s="3" t="s">
        <v>331</v>
      </c>
      <c r="D351" s="4">
        <f>B351/6</f>
        <v>3</v>
      </c>
      <c r="E351"/>
    </row>
    <row r="352" spans="1:5" x14ac:dyDescent="0.25">
      <c r="A352" s="3">
        <v>1588</v>
      </c>
      <c r="B352" s="4">
        <v>19</v>
      </c>
      <c r="C352" s="3" t="s">
        <v>332</v>
      </c>
      <c r="D352" s="4">
        <v>1.9</v>
      </c>
      <c r="E352"/>
    </row>
    <row r="353" spans="1:5" x14ac:dyDescent="0.25">
      <c r="A353" s="3">
        <v>1722</v>
      </c>
      <c r="B353" s="4">
        <v>12</v>
      </c>
      <c r="C353" s="3" t="s">
        <v>333</v>
      </c>
      <c r="D353" s="4">
        <v>3</v>
      </c>
      <c r="E353"/>
    </row>
    <row r="354" spans="1:5" x14ac:dyDescent="0.25">
      <c r="A354" s="3">
        <v>1336</v>
      </c>
      <c r="B354" s="4">
        <v>15</v>
      </c>
      <c r="C354" s="3" t="s">
        <v>334</v>
      </c>
      <c r="D354" s="4">
        <v>0.5</v>
      </c>
      <c r="E354"/>
    </row>
    <row r="355" spans="1:5" x14ac:dyDescent="0.25">
      <c r="A355" s="3">
        <v>1515</v>
      </c>
      <c r="B355" s="4">
        <v>15</v>
      </c>
      <c r="C355" s="3" t="s">
        <v>335</v>
      </c>
      <c r="D355" s="4"/>
      <c r="E355"/>
    </row>
    <row r="356" spans="1:5" x14ac:dyDescent="0.25">
      <c r="A356" s="3">
        <v>1318</v>
      </c>
      <c r="B356" s="4">
        <v>12</v>
      </c>
      <c r="C356" s="3" t="s">
        <v>336</v>
      </c>
      <c r="D356" s="4">
        <v>2</v>
      </c>
      <c r="E356"/>
    </row>
    <row r="357" spans="1:5" x14ac:dyDescent="0.25">
      <c r="A357" s="3">
        <v>1474</v>
      </c>
      <c r="B357" s="4">
        <v>12</v>
      </c>
      <c r="C357" s="3" t="s">
        <v>337</v>
      </c>
      <c r="D357" s="4">
        <v>3</v>
      </c>
      <c r="E357"/>
    </row>
    <row r="358" spans="1:5" x14ac:dyDescent="0.25">
      <c r="A358" s="3">
        <v>1841</v>
      </c>
      <c r="B358" s="4">
        <v>14</v>
      </c>
      <c r="C358" s="3" t="s">
        <v>338</v>
      </c>
      <c r="D358" s="4">
        <f>14/4</f>
        <v>3.5</v>
      </c>
      <c r="E358"/>
    </row>
    <row r="359" spans="1:5" x14ac:dyDescent="0.25">
      <c r="A359" s="3">
        <v>1003</v>
      </c>
      <c r="B359" s="4">
        <v>14</v>
      </c>
      <c r="C359" s="3" t="s">
        <v>339</v>
      </c>
      <c r="D359" s="4"/>
      <c r="E359"/>
    </row>
    <row r="360" spans="1:5" x14ac:dyDescent="0.25">
      <c r="A360" s="3">
        <v>1567</v>
      </c>
      <c r="B360" s="4">
        <v>14</v>
      </c>
      <c r="C360" s="3" t="s">
        <v>339</v>
      </c>
      <c r="D360" s="4"/>
      <c r="E360"/>
    </row>
    <row r="361" spans="1:5" x14ac:dyDescent="0.25">
      <c r="A361" s="3">
        <v>1747</v>
      </c>
      <c r="B361" s="4">
        <v>9.1999999999999993</v>
      </c>
      <c r="C361" s="3" t="s">
        <v>340</v>
      </c>
      <c r="D361" s="4">
        <v>0.4</v>
      </c>
      <c r="E361"/>
    </row>
    <row r="362" spans="1:5" x14ac:dyDescent="0.25">
      <c r="A362" s="3">
        <v>1176</v>
      </c>
      <c r="B362" s="4">
        <v>10.199999999999999</v>
      </c>
      <c r="C362" s="3" t="s">
        <v>341</v>
      </c>
      <c r="D362" s="4">
        <f>10.2/2</f>
        <v>5.0999999999999996</v>
      </c>
      <c r="E362"/>
    </row>
    <row r="363" spans="1:5" x14ac:dyDescent="0.25">
      <c r="A363" s="3">
        <v>1265</v>
      </c>
      <c r="B363" s="4">
        <v>17.5</v>
      </c>
      <c r="C363" s="3" t="s">
        <v>342</v>
      </c>
      <c r="D363" s="4">
        <v>3.5</v>
      </c>
      <c r="E363"/>
    </row>
    <row r="364" spans="1:5" x14ac:dyDescent="0.25">
      <c r="A364" s="3">
        <v>1401</v>
      </c>
      <c r="B364" s="4">
        <v>12</v>
      </c>
      <c r="C364" s="3" t="s">
        <v>343</v>
      </c>
      <c r="D364" s="4">
        <v>0.4</v>
      </c>
      <c r="E364"/>
    </row>
    <row r="365" spans="1:5" x14ac:dyDescent="0.25">
      <c r="A365" s="3">
        <v>1339</v>
      </c>
      <c r="B365" s="4">
        <v>14</v>
      </c>
      <c r="C365" s="3" t="s">
        <v>344</v>
      </c>
      <c r="D365" s="4">
        <f>14/4</f>
        <v>3.5</v>
      </c>
      <c r="E365"/>
    </row>
    <row r="366" spans="1:5" x14ac:dyDescent="0.25">
      <c r="A366" s="3">
        <v>1615</v>
      </c>
      <c r="B366" s="4">
        <v>14</v>
      </c>
      <c r="C366" s="3" t="s">
        <v>344</v>
      </c>
      <c r="D366" s="4">
        <v>3.5</v>
      </c>
      <c r="E366"/>
    </row>
    <row r="367" spans="1:5" x14ac:dyDescent="0.25">
      <c r="A367" s="3">
        <v>1571</v>
      </c>
      <c r="B367" s="4">
        <v>13</v>
      </c>
      <c r="C367" s="3" t="s">
        <v>345</v>
      </c>
      <c r="D367" s="4">
        <f>13/4</f>
        <v>3.25</v>
      </c>
      <c r="E367"/>
    </row>
    <row r="368" spans="1:5" x14ac:dyDescent="0.25">
      <c r="A368" s="3">
        <v>1593</v>
      </c>
      <c r="B368" s="4">
        <v>12</v>
      </c>
      <c r="C368" s="3" t="s">
        <v>346</v>
      </c>
      <c r="D368" s="4">
        <v>1</v>
      </c>
      <c r="E368"/>
    </row>
    <row r="369" spans="1:5" x14ac:dyDescent="0.25">
      <c r="A369" s="3">
        <v>1825</v>
      </c>
      <c r="B369" s="4">
        <v>6</v>
      </c>
      <c r="C369" s="3" t="s">
        <v>347</v>
      </c>
      <c r="D369" s="4"/>
      <c r="E369"/>
    </row>
    <row r="370" spans="1:5" x14ac:dyDescent="0.25">
      <c r="A370" s="3">
        <v>1595</v>
      </c>
      <c r="B370" s="4">
        <v>6</v>
      </c>
      <c r="C370" s="3" t="s">
        <v>348</v>
      </c>
      <c r="D370" s="4">
        <v>0.4</v>
      </c>
      <c r="E370"/>
    </row>
    <row r="371" spans="1:5" x14ac:dyDescent="0.25">
      <c r="A371" s="3">
        <v>1002</v>
      </c>
      <c r="B371" s="4">
        <v>14</v>
      </c>
      <c r="C371" s="3" t="s">
        <v>349</v>
      </c>
      <c r="D371" s="4"/>
      <c r="E371"/>
    </row>
    <row r="372" spans="1:5" x14ac:dyDescent="0.25">
      <c r="A372" s="3">
        <v>1261</v>
      </c>
      <c r="B372" s="4">
        <v>14</v>
      </c>
      <c r="C372" s="3" t="s">
        <v>349</v>
      </c>
      <c r="D372" s="4"/>
      <c r="E372"/>
    </row>
    <row r="373" spans="1:5" x14ac:dyDescent="0.25">
      <c r="A373" s="3">
        <v>1568</v>
      </c>
      <c r="B373" s="4">
        <v>14</v>
      </c>
      <c r="C373" s="3" t="s">
        <v>349</v>
      </c>
      <c r="D373" s="4"/>
      <c r="E373"/>
    </row>
    <row r="374" spans="1:5" x14ac:dyDescent="0.25">
      <c r="A374" s="3">
        <v>1569</v>
      </c>
      <c r="B374" s="4">
        <v>14</v>
      </c>
      <c r="C374" s="3" t="s">
        <v>349</v>
      </c>
      <c r="D374" s="4"/>
      <c r="E374"/>
    </row>
    <row r="375" spans="1:5" x14ac:dyDescent="0.25">
      <c r="A375" s="3">
        <v>1364</v>
      </c>
      <c r="B375" s="4">
        <v>15</v>
      </c>
      <c r="C375" s="3" t="s">
        <v>350</v>
      </c>
      <c r="D375" s="4"/>
      <c r="E375"/>
    </row>
    <row r="376" spans="1:5" x14ac:dyDescent="0.25">
      <c r="A376" s="3">
        <v>1178</v>
      </c>
      <c r="B376" s="4">
        <v>18</v>
      </c>
      <c r="C376" s="3" t="s">
        <v>351</v>
      </c>
      <c r="D376" s="4"/>
      <c r="E376"/>
    </row>
    <row r="377" spans="1:5" x14ac:dyDescent="0.25">
      <c r="A377" s="3">
        <v>1513</v>
      </c>
      <c r="B377" s="4">
        <v>4</v>
      </c>
      <c r="C377" s="3" t="s">
        <v>352</v>
      </c>
      <c r="D377" s="4"/>
      <c r="E377"/>
    </row>
    <row r="378" spans="1:5" x14ac:dyDescent="0.25">
      <c r="A378" s="3">
        <v>1153</v>
      </c>
      <c r="B378" s="4">
        <v>8</v>
      </c>
      <c r="C378" s="3" t="s">
        <v>353</v>
      </c>
      <c r="D378" s="4"/>
      <c r="E378"/>
    </row>
    <row r="379" spans="1:5" x14ac:dyDescent="0.25">
      <c r="A379" s="3">
        <v>1171</v>
      </c>
      <c r="B379" s="4">
        <v>8</v>
      </c>
      <c r="C379" s="3" t="s">
        <v>353</v>
      </c>
      <c r="D379" s="4"/>
      <c r="E379"/>
    </row>
    <row r="380" spans="1:5" x14ac:dyDescent="0.25">
      <c r="A380" s="3">
        <v>1600</v>
      </c>
      <c r="B380" s="4">
        <v>8</v>
      </c>
      <c r="C380" s="3" t="s">
        <v>353</v>
      </c>
      <c r="D380" s="4">
        <v>4</v>
      </c>
      <c r="E380"/>
    </row>
    <row r="381" spans="1:5" x14ac:dyDescent="0.25">
      <c r="A381" s="3">
        <v>1233</v>
      </c>
      <c r="B381" s="4">
        <v>14</v>
      </c>
      <c r="C381" s="3" t="s">
        <v>354</v>
      </c>
      <c r="D381" s="4"/>
      <c r="E381"/>
    </row>
    <row r="382" spans="1:5" x14ac:dyDescent="0.25">
      <c r="A382" s="3">
        <v>1617</v>
      </c>
      <c r="B382" s="4">
        <v>14</v>
      </c>
      <c r="C382" s="3" t="s">
        <v>354</v>
      </c>
      <c r="D382" s="4">
        <f>14/4</f>
        <v>3.5</v>
      </c>
      <c r="E382"/>
    </row>
    <row r="383" spans="1:5" x14ac:dyDescent="0.25">
      <c r="A383" s="3">
        <v>1542</v>
      </c>
      <c r="B383" s="4">
        <v>2.4</v>
      </c>
      <c r="C383" s="3" t="s">
        <v>355</v>
      </c>
      <c r="D383" s="4"/>
      <c r="E383"/>
    </row>
    <row r="384" spans="1:5" x14ac:dyDescent="0.25">
      <c r="A384" s="3">
        <v>1793</v>
      </c>
      <c r="B384" s="4">
        <v>11.45</v>
      </c>
      <c r="C384" s="3" t="s">
        <v>356</v>
      </c>
      <c r="D384" s="4">
        <f>11.45/15</f>
        <v>0.76333333333333331</v>
      </c>
      <c r="E384"/>
    </row>
    <row r="385" spans="1:5" x14ac:dyDescent="0.25">
      <c r="A385" s="3">
        <v>1647</v>
      </c>
      <c r="B385" s="4">
        <v>8</v>
      </c>
      <c r="C385" s="3" t="s">
        <v>357</v>
      </c>
      <c r="D385" s="4">
        <v>4</v>
      </c>
      <c r="E385"/>
    </row>
    <row r="386" spans="1:5" x14ac:dyDescent="0.25">
      <c r="A386" s="3">
        <v>1746</v>
      </c>
      <c r="B386" s="4">
        <v>14</v>
      </c>
      <c r="C386" s="3" t="s">
        <v>358</v>
      </c>
      <c r="D386" s="4">
        <f>14/4</f>
        <v>3.5</v>
      </c>
      <c r="E386"/>
    </row>
    <row r="387" spans="1:5" x14ac:dyDescent="0.25">
      <c r="A387" s="3">
        <v>1748</v>
      </c>
      <c r="B387" s="4">
        <v>9.1999999999999993</v>
      </c>
      <c r="C387" s="3" t="s">
        <v>359</v>
      </c>
      <c r="D387" s="4">
        <v>0.4</v>
      </c>
      <c r="E387"/>
    </row>
    <row r="388" spans="1:5" x14ac:dyDescent="0.25">
      <c r="A388" s="3">
        <v>1572</v>
      </c>
      <c r="B388" s="4">
        <v>6</v>
      </c>
      <c r="C388" s="3" t="s">
        <v>360</v>
      </c>
      <c r="D388" s="4">
        <v>1</v>
      </c>
      <c r="E388"/>
    </row>
    <row r="389" spans="1:5" x14ac:dyDescent="0.25">
      <c r="A389" s="3">
        <v>1213</v>
      </c>
      <c r="B389" s="4">
        <v>13.1</v>
      </c>
      <c r="C389" s="3" t="s">
        <v>361</v>
      </c>
      <c r="D389" s="4">
        <f>13.1/4</f>
        <v>3.2749999999999999</v>
      </c>
      <c r="E389"/>
    </row>
    <row r="390" spans="1:5" x14ac:dyDescent="0.25">
      <c r="A390" s="3">
        <v>1634</v>
      </c>
      <c r="B390" s="4">
        <v>10</v>
      </c>
      <c r="C390" s="3" t="s">
        <v>362</v>
      </c>
      <c r="D390" s="4">
        <v>0.4</v>
      </c>
      <c r="E390"/>
    </row>
    <row r="391" spans="1:5" x14ac:dyDescent="0.25">
      <c r="A391" s="3">
        <v>1638</v>
      </c>
      <c r="B391" s="4">
        <v>18</v>
      </c>
      <c r="C391" s="3" t="s">
        <v>363</v>
      </c>
      <c r="D391" s="4">
        <v>3</v>
      </c>
      <c r="E391"/>
    </row>
    <row r="392" spans="1:5" x14ac:dyDescent="0.25">
      <c r="A392" s="3">
        <v>1470</v>
      </c>
      <c r="B392" s="4">
        <v>18</v>
      </c>
      <c r="C392" s="3" t="s">
        <v>364</v>
      </c>
      <c r="D392" s="4"/>
      <c r="E392"/>
    </row>
    <row r="393" spans="1:5" x14ac:dyDescent="0.25">
      <c r="A393" s="3">
        <v>1082</v>
      </c>
      <c r="B393" s="4">
        <v>16</v>
      </c>
      <c r="C393" s="3" t="s">
        <v>365</v>
      </c>
      <c r="D393" s="4">
        <v>4</v>
      </c>
      <c r="E393"/>
    </row>
    <row r="394" spans="1:5" x14ac:dyDescent="0.25">
      <c r="A394" s="3">
        <v>1830</v>
      </c>
      <c r="B394" s="4">
        <v>0.15</v>
      </c>
      <c r="C394" s="3" t="s">
        <v>366</v>
      </c>
      <c r="D394" s="4"/>
      <c r="E394"/>
    </row>
    <row r="395" spans="1:5" x14ac:dyDescent="0.25">
      <c r="A395" s="3">
        <v>1829</v>
      </c>
      <c r="B395" s="4">
        <v>0.5</v>
      </c>
      <c r="C395" s="3" t="s">
        <v>367</v>
      </c>
      <c r="D395" s="4"/>
      <c r="E395"/>
    </row>
    <row r="396" spans="1:5" x14ac:dyDescent="0.25">
      <c r="A396" s="3">
        <v>1831</v>
      </c>
      <c r="B396" s="4"/>
      <c r="C396" s="3" t="s">
        <v>368</v>
      </c>
      <c r="D396" s="4"/>
      <c r="E396"/>
    </row>
    <row r="397" spans="1:5" x14ac:dyDescent="0.25">
      <c r="A397" s="3">
        <v>1785</v>
      </c>
      <c r="B397" s="4">
        <v>3.6</v>
      </c>
      <c r="C397" s="3" t="s">
        <v>369</v>
      </c>
      <c r="D397" s="4">
        <v>0.3</v>
      </c>
      <c r="E397"/>
    </row>
    <row r="398" spans="1:5" x14ac:dyDescent="0.25">
      <c r="A398" s="3">
        <v>1803</v>
      </c>
      <c r="B398" s="4">
        <v>20</v>
      </c>
      <c r="C398" s="3" t="s">
        <v>370</v>
      </c>
      <c r="D398" s="4"/>
      <c r="E398"/>
    </row>
    <row r="399" spans="1:5" x14ac:dyDescent="0.25">
      <c r="A399" s="3">
        <v>1772</v>
      </c>
      <c r="B399" s="4">
        <v>10</v>
      </c>
      <c r="C399" s="3" t="s">
        <v>371</v>
      </c>
      <c r="D399" s="4"/>
      <c r="E399"/>
    </row>
    <row r="400" spans="1:5" x14ac:dyDescent="0.25">
      <c r="A400" s="3">
        <v>1850</v>
      </c>
      <c r="B400" s="4">
        <v>10</v>
      </c>
      <c r="C400" s="3" t="s">
        <v>372</v>
      </c>
      <c r="D400" s="4">
        <v>1</v>
      </c>
      <c r="E400"/>
    </row>
    <row r="401" spans="1:5" x14ac:dyDescent="0.25">
      <c r="A401" s="3">
        <v>1885</v>
      </c>
      <c r="B401" s="4">
        <v>3</v>
      </c>
      <c r="C401" s="3" t="s">
        <v>373</v>
      </c>
      <c r="D401" s="4">
        <v>0.3</v>
      </c>
      <c r="E401"/>
    </row>
    <row r="402" spans="1:5" x14ac:dyDescent="0.25">
      <c r="A402" s="3">
        <v>1727</v>
      </c>
      <c r="B402" s="4">
        <v>9</v>
      </c>
      <c r="C402" s="3" t="s">
        <v>374</v>
      </c>
      <c r="D402" s="4">
        <v>0.3</v>
      </c>
      <c r="E402"/>
    </row>
    <row r="403" spans="1:5" x14ac:dyDescent="0.25">
      <c r="A403" s="3">
        <v>1730</v>
      </c>
      <c r="B403" s="4">
        <v>8</v>
      </c>
      <c r="C403" s="3" t="s">
        <v>375</v>
      </c>
      <c r="D403" s="4">
        <v>0.4</v>
      </c>
      <c r="E403"/>
    </row>
    <row r="404" spans="1:5" x14ac:dyDescent="0.25">
      <c r="A404" s="3">
        <v>1180</v>
      </c>
      <c r="B404" s="4">
        <v>12</v>
      </c>
      <c r="C404" s="3" t="s">
        <v>376</v>
      </c>
      <c r="D404" s="4"/>
      <c r="E404"/>
    </row>
    <row r="405" spans="1:5" x14ac:dyDescent="0.25">
      <c r="A405" s="3">
        <v>1434</v>
      </c>
      <c r="B405" s="4">
        <v>12</v>
      </c>
      <c r="C405" s="3" t="s">
        <v>377</v>
      </c>
      <c r="D405" s="4">
        <v>1</v>
      </c>
      <c r="E405"/>
    </row>
    <row r="406" spans="1:5" x14ac:dyDescent="0.25">
      <c r="A406" s="3">
        <v>1655</v>
      </c>
      <c r="B406" s="4">
        <v>12</v>
      </c>
      <c r="C406" s="3" t="s">
        <v>377</v>
      </c>
      <c r="D406" s="4">
        <v>1</v>
      </c>
      <c r="E406"/>
    </row>
    <row r="407" spans="1:5" x14ac:dyDescent="0.25">
      <c r="A407" s="3">
        <v>1495</v>
      </c>
      <c r="B407" s="4">
        <v>20</v>
      </c>
      <c r="C407" s="3" t="s">
        <v>378</v>
      </c>
      <c r="D407" s="4"/>
      <c r="E407"/>
    </row>
    <row r="408" spans="1:5" x14ac:dyDescent="0.25">
      <c r="A408" s="3">
        <v>1085</v>
      </c>
      <c r="B408" s="4">
        <v>18</v>
      </c>
      <c r="C408" s="3" t="s">
        <v>379</v>
      </c>
      <c r="D408" s="4"/>
      <c r="E408"/>
    </row>
    <row r="409" spans="1:5" x14ac:dyDescent="0.25">
      <c r="A409" s="3">
        <v>1073</v>
      </c>
      <c r="B409" s="4">
        <v>12</v>
      </c>
      <c r="C409" s="3" t="s">
        <v>380</v>
      </c>
      <c r="D409" s="4"/>
      <c r="E409"/>
    </row>
    <row r="410" spans="1:5" x14ac:dyDescent="0.25">
      <c r="A410" s="3">
        <v>1592</v>
      </c>
      <c r="B410" s="4">
        <v>12</v>
      </c>
      <c r="C410" s="3" t="s">
        <v>381</v>
      </c>
      <c r="D410" s="4"/>
      <c r="E410"/>
    </row>
    <row r="411" spans="1:5" x14ac:dyDescent="0.25">
      <c r="A411" s="3">
        <v>1704</v>
      </c>
      <c r="B411" s="4">
        <v>20</v>
      </c>
      <c r="C411" s="3" t="s">
        <v>382</v>
      </c>
      <c r="D411" s="4"/>
      <c r="E411"/>
    </row>
    <row r="412" spans="1:5" x14ac:dyDescent="0.25">
      <c r="A412" s="3">
        <v>1054</v>
      </c>
      <c r="B412" s="4">
        <v>18</v>
      </c>
      <c r="C412" s="3" t="s">
        <v>383</v>
      </c>
      <c r="D412" s="4"/>
      <c r="E412"/>
    </row>
    <row r="413" spans="1:5" x14ac:dyDescent="0.25">
      <c r="A413" s="3">
        <v>1257</v>
      </c>
      <c r="B413" s="4">
        <v>20</v>
      </c>
      <c r="C413" s="3" t="s">
        <v>384</v>
      </c>
      <c r="D413" s="4"/>
      <c r="E413"/>
    </row>
    <row r="414" spans="1:5" x14ac:dyDescent="0.25">
      <c r="A414" s="3">
        <v>1880</v>
      </c>
      <c r="B414" s="4">
        <v>18</v>
      </c>
      <c r="C414" s="3" t="s">
        <v>385</v>
      </c>
      <c r="D414" s="4"/>
      <c r="E414"/>
    </row>
    <row r="415" spans="1:5" x14ac:dyDescent="0.25">
      <c r="A415" s="3">
        <v>1429</v>
      </c>
      <c r="B415" s="4">
        <v>18</v>
      </c>
      <c r="C415" s="3" t="s">
        <v>386</v>
      </c>
      <c r="D415" s="4"/>
      <c r="E415"/>
    </row>
    <row r="416" spans="1:5" x14ac:dyDescent="0.25">
      <c r="A416" s="3">
        <v>1821</v>
      </c>
      <c r="B416" s="4">
        <v>18</v>
      </c>
      <c r="C416" s="3" t="s">
        <v>387</v>
      </c>
      <c r="D416" s="4"/>
      <c r="E416"/>
    </row>
    <row r="417" spans="1:5" x14ac:dyDescent="0.25">
      <c r="A417" s="3">
        <v>1218</v>
      </c>
      <c r="B417" s="4">
        <v>14</v>
      </c>
      <c r="C417" s="3" t="s">
        <v>388</v>
      </c>
      <c r="D417" s="4"/>
      <c r="E417"/>
    </row>
    <row r="418" spans="1:5" x14ac:dyDescent="0.25">
      <c r="A418" s="3">
        <v>1430</v>
      </c>
      <c r="B418" s="4">
        <v>18</v>
      </c>
      <c r="C418" s="3" t="s">
        <v>389</v>
      </c>
      <c r="D418" s="4"/>
      <c r="E418"/>
    </row>
    <row r="419" spans="1:5" x14ac:dyDescent="0.25">
      <c r="A419" s="3">
        <v>1431</v>
      </c>
      <c r="B419" s="4">
        <v>12</v>
      </c>
      <c r="C419" s="3" t="s">
        <v>390</v>
      </c>
      <c r="D419" s="4"/>
      <c r="E419"/>
    </row>
    <row r="420" spans="1:5" x14ac:dyDescent="0.25">
      <c r="A420" s="3">
        <v>1778</v>
      </c>
      <c r="B420" s="4">
        <v>4.32</v>
      </c>
      <c r="C420" s="3" t="s">
        <v>391</v>
      </c>
      <c r="D420" s="4"/>
      <c r="E420"/>
    </row>
    <row r="421" spans="1:5" x14ac:dyDescent="0.25">
      <c r="A421" s="3">
        <v>1226</v>
      </c>
      <c r="B421" s="4">
        <v>15</v>
      </c>
      <c r="C421" s="3" t="s">
        <v>392</v>
      </c>
      <c r="D421" s="4"/>
      <c r="E421"/>
    </row>
    <row r="422" spans="1:5" x14ac:dyDescent="0.25">
      <c r="A422" s="3">
        <v>1754</v>
      </c>
      <c r="B422" s="4">
        <v>11</v>
      </c>
      <c r="C422" s="3" t="s">
        <v>393</v>
      </c>
      <c r="D422" s="4"/>
      <c r="E422"/>
    </row>
    <row r="423" spans="1:5" x14ac:dyDescent="0.25">
      <c r="A423" s="3">
        <v>1243</v>
      </c>
      <c r="B423" s="4">
        <v>5.52</v>
      </c>
      <c r="C423" s="3" t="s">
        <v>394</v>
      </c>
      <c r="D423" s="4"/>
      <c r="E423"/>
    </row>
    <row r="424" spans="1:5" x14ac:dyDescent="0.25">
      <c r="A424" s="3">
        <v>1259</v>
      </c>
      <c r="B424" s="4">
        <v>5.52</v>
      </c>
      <c r="C424" s="3" t="s">
        <v>395</v>
      </c>
      <c r="D424" s="4"/>
      <c r="E424"/>
    </row>
    <row r="425" spans="1:5" x14ac:dyDescent="0.25">
      <c r="A425" s="3">
        <v>1740</v>
      </c>
      <c r="B425" s="4">
        <v>5.52</v>
      </c>
      <c r="C425" s="3" t="s">
        <v>396</v>
      </c>
      <c r="D425" s="4">
        <f>5.52/12</f>
        <v>0.45999999999999996</v>
      </c>
      <c r="E425"/>
    </row>
    <row r="426" spans="1:5" x14ac:dyDescent="0.25">
      <c r="A426" s="3">
        <v>1150</v>
      </c>
      <c r="B426" s="4">
        <v>5.52</v>
      </c>
      <c r="C426" s="3" t="s">
        <v>397</v>
      </c>
      <c r="D426" s="4">
        <v>0.46</v>
      </c>
      <c r="E426"/>
    </row>
    <row r="427" spans="1:5" x14ac:dyDescent="0.25">
      <c r="A427" s="3">
        <v>1507</v>
      </c>
      <c r="B427" s="4">
        <v>5.52</v>
      </c>
      <c r="C427" s="3" t="s">
        <v>398</v>
      </c>
      <c r="D427" s="4">
        <v>0.46</v>
      </c>
      <c r="E427"/>
    </row>
    <row r="428" spans="1:5" x14ac:dyDescent="0.25">
      <c r="A428" s="3">
        <v>1741</v>
      </c>
      <c r="B428" s="4">
        <v>5.52</v>
      </c>
      <c r="C428" s="3" t="s">
        <v>399</v>
      </c>
      <c r="D428" s="4">
        <v>0.46</v>
      </c>
      <c r="E428"/>
    </row>
    <row r="429" spans="1:5" x14ac:dyDescent="0.25">
      <c r="A429" s="3">
        <v>1738</v>
      </c>
      <c r="B429" s="4">
        <v>5.52</v>
      </c>
      <c r="C429" s="3" t="s">
        <v>400</v>
      </c>
      <c r="D429" s="4">
        <v>0.46</v>
      </c>
      <c r="E429"/>
    </row>
    <row r="430" spans="1:5" x14ac:dyDescent="0.25">
      <c r="A430" s="3">
        <v>1842</v>
      </c>
      <c r="B430" s="4">
        <v>5.52</v>
      </c>
      <c r="C430" s="3" t="s">
        <v>401</v>
      </c>
      <c r="D430" s="4">
        <v>0.46</v>
      </c>
      <c r="E430"/>
    </row>
    <row r="431" spans="1:5" x14ac:dyDescent="0.25">
      <c r="A431" s="3">
        <v>1884</v>
      </c>
      <c r="B431" s="4">
        <v>5.52</v>
      </c>
      <c r="C431" s="3" t="s">
        <v>402</v>
      </c>
      <c r="D431" s="4">
        <v>0.46</v>
      </c>
      <c r="E431"/>
    </row>
    <row r="432" spans="1:5" x14ac:dyDescent="0.25">
      <c r="A432" s="3">
        <v>1739</v>
      </c>
      <c r="B432" s="4">
        <v>5.52</v>
      </c>
      <c r="C432" s="3" t="s">
        <v>403</v>
      </c>
      <c r="D432" s="4">
        <v>0.46</v>
      </c>
      <c r="E432"/>
    </row>
    <row r="433" spans="1:5" x14ac:dyDescent="0.25">
      <c r="A433" s="3">
        <v>1614</v>
      </c>
      <c r="B433" s="4">
        <v>5.52</v>
      </c>
      <c r="C433" s="3" t="s">
        <v>404</v>
      </c>
      <c r="D433" s="4">
        <v>0.46</v>
      </c>
      <c r="E433"/>
    </row>
    <row r="434" spans="1:5" x14ac:dyDescent="0.25">
      <c r="A434" s="3">
        <v>1890</v>
      </c>
      <c r="B434" s="4">
        <v>10</v>
      </c>
      <c r="C434" s="3" t="s">
        <v>405</v>
      </c>
      <c r="D434" s="4">
        <v>0.4</v>
      </c>
      <c r="E434"/>
    </row>
    <row r="435" spans="1:5" x14ac:dyDescent="0.25">
      <c r="A435" s="3">
        <v>1473</v>
      </c>
      <c r="B435" s="4">
        <v>10</v>
      </c>
      <c r="C435" s="3" t="s">
        <v>406</v>
      </c>
      <c r="D435" s="4"/>
      <c r="E435"/>
    </row>
    <row r="436" spans="1:5" x14ac:dyDescent="0.25">
      <c r="A436" s="3">
        <v>1751</v>
      </c>
      <c r="B436" s="4">
        <v>6.6</v>
      </c>
      <c r="C436" s="3" t="s">
        <v>407</v>
      </c>
      <c r="D436" s="4">
        <f>6.6/2</f>
        <v>3.3</v>
      </c>
      <c r="E436"/>
    </row>
    <row r="437" spans="1:5" x14ac:dyDescent="0.25">
      <c r="A437" s="3">
        <v>1432</v>
      </c>
      <c r="B437" s="4">
        <v>6.4</v>
      </c>
      <c r="C437" s="3" t="s">
        <v>408</v>
      </c>
      <c r="D437" s="4">
        <v>3.2</v>
      </c>
      <c r="E437"/>
    </row>
    <row r="438" spans="1:5" x14ac:dyDescent="0.25">
      <c r="A438" s="3">
        <v>1264</v>
      </c>
      <c r="B438" s="4">
        <v>14</v>
      </c>
      <c r="C438" s="3" t="s">
        <v>409</v>
      </c>
      <c r="D438" s="4">
        <f>14/4</f>
        <v>3.5</v>
      </c>
      <c r="E438"/>
    </row>
    <row r="439" spans="1:5" x14ac:dyDescent="0.25">
      <c r="A439" s="3">
        <v>1198</v>
      </c>
      <c r="B439" s="4">
        <v>4.2</v>
      </c>
      <c r="C439" s="3" t="s">
        <v>410</v>
      </c>
      <c r="D439" s="4">
        <v>0.2</v>
      </c>
      <c r="E439"/>
    </row>
    <row r="440" spans="1:5" x14ac:dyDescent="0.25">
      <c r="A440" s="3">
        <v>1202</v>
      </c>
      <c r="B440" s="4">
        <v>13.6</v>
      </c>
      <c r="C440" s="3" t="s">
        <v>411</v>
      </c>
      <c r="D440" s="4">
        <f>13.6/4</f>
        <v>3.4</v>
      </c>
      <c r="E440"/>
    </row>
    <row r="441" spans="1:5" x14ac:dyDescent="0.25">
      <c r="A441" s="3">
        <v>1453</v>
      </c>
      <c r="B441" s="4">
        <v>11</v>
      </c>
      <c r="C441" s="3" t="s">
        <v>412</v>
      </c>
      <c r="D441" s="4">
        <v>3.7</v>
      </c>
      <c r="E441"/>
    </row>
    <row r="442" spans="1:5" x14ac:dyDescent="0.25">
      <c r="A442" s="3">
        <v>1072</v>
      </c>
      <c r="B442" s="4">
        <v>20</v>
      </c>
      <c r="C442" s="3" t="s">
        <v>413</v>
      </c>
      <c r="D442" s="4"/>
      <c r="E442"/>
    </row>
    <row r="443" spans="1:5" x14ac:dyDescent="0.25">
      <c r="A443" s="3">
        <v>1660</v>
      </c>
      <c r="B443" s="4">
        <v>15.4</v>
      </c>
      <c r="C443" s="3" t="s">
        <v>414</v>
      </c>
      <c r="D443" s="4">
        <f>15.4/4</f>
        <v>3.85</v>
      </c>
      <c r="E443"/>
    </row>
    <row r="444" spans="1:5" x14ac:dyDescent="0.25">
      <c r="A444" s="3">
        <v>1368</v>
      </c>
      <c r="B444" s="4">
        <v>7</v>
      </c>
      <c r="C444" s="3" t="s">
        <v>415</v>
      </c>
      <c r="D444" s="4">
        <v>3.5</v>
      </c>
      <c r="E444"/>
    </row>
    <row r="445" spans="1:5" x14ac:dyDescent="0.25">
      <c r="A445" s="3">
        <v>1545</v>
      </c>
      <c r="B445" s="4">
        <v>7</v>
      </c>
      <c r="C445" s="3" t="s">
        <v>416</v>
      </c>
      <c r="D445" s="4"/>
      <c r="E445"/>
    </row>
    <row r="446" spans="1:5" x14ac:dyDescent="0.25">
      <c r="A446" s="3">
        <v>1609</v>
      </c>
      <c r="B446" s="4">
        <v>6.8</v>
      </c>
      <c r="C446" s="3" t="s">
        <v>417</v>
      </c>
      <c r="D446" s="4">
        <f>6.8/2</f>
        <v>3.4</v>
      </c>
      <c r="E446"/>
    </row>
    <row r="447" spans="1:5" x14ac:dyDescent="0.25">
      <c r="A447" s="3">
        <v>1549</v>
      </c>
      <c r="B447" s="4">
        <v>13.6</v>
      </c>
      <c r="C447" s="3" t="s">
        <v>418</v>
      </c>
      <c r="D447" s="4"/>
      <c r="E447"/>
    </row>
    <row r="448" spans="1:5" x14ac:dyDescent="0.25">
      <c r="A448" s="3">
        <v>1518</v>
      </c>
      <c r="B448" s="4">
        <v>10.8</v>
      </c>
      <c r="C448" s="3" t="s">
        <v>419</v>
      </c>
      <c r="D448" s="4"/>
      <c r="E448"/>
    </row>
    <row r="449" spans="1:5" x14ac:dyDescent="0.25">
      <c r="A449" s="3">
        <v>1523</v>
      </c>
      <c r="B449" s="4">
        <v>25.2</v>
      </c>
      <c r="C449" s="3" t="s">
        <v>420</v>
      </c>
      <c r="D449" s="4">
        <f>25.2/6</f>
        <v>4.2</v>
      </c>
      <c r="E449"/>
    </row>
    <row r="450" spans="1:5" x14ac:dyDescent="0.25">
      <c r="A450" s="3">
        <v>1541</v>
      </c>
      <c r="B450" s="4">
        <v>25.2</v>
      </c>
      <c r="C450" s="3" t="s">
        <v>421</v>
      </c>
      <c r="D450" s="4">
        <v>4.2</v>
      </c>
      <c r="E450"/>
    </row>
    <row r="451" spans="1:5" x14ac:dyDescent="0.25">
      <c r="A451" s="3">
        <v>1796</v>
      </c>
      <c r="B451" s="4">
        <v>3</v>
      </c>
      <c r="C451" s="3" t="s">
        <v>422</v>
      </c>
      <c r="D451" s="4">
        <v>0.2</v>
      </c>
      <c r="E451"/>
    </row>
    <row r="452" spans="1:5" x14ac:dyDescent="0.25">
      <c r="A452" s="3">
        <v>1642</v>
      </c>
      <c r="B452" s="4">
        <v>16</v>
      </c>
      <c r="C452" s="3" t="s">
        <v>423</v>
      </c>
      <c r="D452" s="4">
        <v>4</v>
      </c>
      <c r="E452"/>
    </row>
    <row r="453" spans="1:5" x14ac:dyDescent="0.25">
      <c r="A453" s="3">
        <v>1544</v>
      </c>
      <c r="B453" s="4">
        <v>3</v>
      </c>
      <c r="C453" s="3" t="s">
        <v>424</v>
      </c>
      <c r="D453" s="4">
        <f>3/15</f>
        <v>0.2</v>
      </c>
      <c r="E453"/>
    </row>
    <row r="454" spans="1:5" x14ac:dyDescent="0.25">
      <c r="A454" s="3">
        <v>1167</v>
      </c>
      <c r="B454" s="4">
        <v>2.7</v>
      </c>
      <c r="C454" s="3" t="s">
        <v>425</v>
      </c>
      <c r="D454" s="4">
        <v>0.15</v>
      </c>
      <c r="E454"/>
    </row>
    <row r="455" spans="1:5" x14ac:dyDescent="0.25">
      <c r="A455" s="3">
        <v>1543</v>
      </c>
      <c r="B455" s="4">
        <v>3</v>
      </c>
      <c r="C455" s="3" t="s">
        <v>426</v>
      </c>
      <c r="D455" s="4">
        <v>0.2</v>
      </c>
      <c r="E455"/>
    </row>
    <row r="456" spans="1:5" x14ac:dyDescent="0.25">
      <c r="A456" s="3">
        <v>1678</v>
      </c>
      <c r="B456" s="4">
        <v>18</v>
      </c>
      <c r="C456" s="3" t="s">
        <v>427</v>
      </c>
      <c r="D456" s="4"/>
      <c r="E456"/>
    </row>
    <row r="457" spans="1:5" x14ac:dyDescent="0.25">
      <c r="A457" s="3">
        <v>1677</v>
      </c>
      <c r="B457" s="4">
        <v>18</v>
      </c>
      <c r="C457" s="3" t="s">
        <v>428</v>
      </c>
      <c r="D457" s="4"/>
      <c r="E457"/>
    </row>
    <row r="458" spans="1:5" x14ac:dyDescent="0.25">
      <c r="A458" s="3">
        <v>1846</v>
      </c>
      <c r="B458" s="4">
        <v>6</v>
      </c>
      <c r="C458" s="3" t="s">
        <v>429</v>
      </c>
      <c r="D458" s="4"/>
      <c r="E458"/>
    </row>
    <row r="459" spans="1:5" x14ac:dyDescent="0.25">
      <c r="A459" s="3">
        <v>1848</v>
      </c>
      <c r="B459" s="4">
        <v>6</v>
      </c>
      <c r="C459" s="3" t="s">
        <v>430</v>
      </c>
      <c r="D459" s="4"/>
      <c r="E459"/>
    </row>
    <row r="460" spans="1:5" x14ac:dyDescent="0.25">
      <c r="A460" s="3">
        <v>1859</v>
      </c>
      <c r="B460" s="4">
        <v>6</v>
      </c>
      <c r="C460" s="3" t="s">
        <v>431</v>
      </c>
      <c r="D460" s="4"/>
      <c r="E460"/>
    </row>
    <row r="461" spans="1:5" x14ac:dyDescent="0.25">
      <c r="A461" s="3">
        <v>1847</v>
      </c>
      <c r="B461" s="4">
        <v>12</v>
      </c>
      <c r="C461" s="3" t="s">
        <v>432</v>
      </c>
      <c r="D461" s="4"/>
      <c r="E461"/>
    </row>
    <row r="462" spans="1:5" x14ac:dyDescent="0.25">
      <c r="A462" s="3">
        <v>1857</v>
      </c>
      <c r="B462" s="4">
        <v>12</v>
      </c>
      <c r="C462" s="3" t="s">
        <v>433</v>
      </c>
      <c r="D462" s="4"/>
      <c r="E462"/>
    </row>
    <row r="463" spans="1:5" x14ac:dyDescent="0.25">
      <c r="A463" s="3">
        <v>1874</v>
      </c>
      <c r="B463" s="4">
        <v>12</v>
      </c>
      <c r="C463" s="3" t="s">
        <v>434</v>
      </c>
      <c r="D463" s="4"/>
      <c r="E463"/>
    </row>
    <row r="464" spans="1:5" x14ac:dyDescent="0.25">
      <c r="A464" s="3">
        <v>1789</v>
      </c>
      <c r="B464" s="4">
        <v>2.16</v>
      </c>
      <c r="C464" s="3" t="s">
        <v>435</v>
      </c>
      <c r="D464" s="4">
        <v>0.18</v>
      </c>
      <c r="E464"/>
    </row>
    <row r="465" spans="1:5" x14ac:dyDescent="0.25">
      <c r="A465" s="3">
        <v>1790</v>
      </c>
      <c r="B465" s="4">
        <v>2.16</v>
      </c>
      <c r="C465" s="3" t="s">
        <v>436</v>
      </c>
      <c r="D465" s="4">
        <v>0.18</v>
      </c>
      <c r="E465"/>
    </row>
    <row r="466" spans="1:5" x14ac:dyDescent="0.25">
      <c r="A466" s="3">
        <v>1663</v>
      </c>
      <c r="B466" s="4">
        <v>2.4</v>
      </c>
      <c r="C466" s="3" t="s">
        <v>437</v>
      </c>
      <c r="D466" s="4">
        <v>0.2</v>
      </c>
      <c r="E466"/>
    </row>
    <row r="467" spans="1:5" x14ac:dyDescent="0.25">
      <c r="A467" s="3">
        <v>1827</v>
      </c>
      <c r="B467" s="4">
        <v>6</v>
      </c>
      <c r="C467" s="3" t="s">
        <v>438</v>
      </c>
      <c r="D467" s="4">
        <v>0.2</v>
      </c>
      <c r="E467"/>
    </row>
    <row r="468" spans="1:5" x14ac:dyDescent="0.25">
      <c r="A468" s="3">
        <v>1165</v>
      </c>
      <c r="B468" s="4">
        <v>4.8</v>
      </c>
      <c r="C468" s="3" t="s">
        <v>439</v>
      </c>
      <c r="D468" s="4">
        <v>0.2</v>
      </c>
      <c r="E468"/>
    </row>
    <row r="469" spans="1:5" x14ac:dyDescent="0.25">
      <c r="A469" s="3">
        <v>1559</v>
      </c>
      <c r="B469" s="4">
        <v>2.4</v>
      </c>
      <c r="C469" s="3" t="s">
        <v>440</v>
      </c>
      <c r="D469" s="4">
        <v>0.2</v>
      </c>
      <c r="E469"/>
    </row>
    <row r="470" spans="1:5" x14ac:dyDescent="0.25">
      <c r="A470" s="3">
        <v>1826</v>
      </c>
      <c r="B470" s="4">
        <v>3</v>
      </c>
      <c r="C470" s="3" t="s">
        <v>441</v>
      </c>
      <c r="D470" s="4">
        <v>0.2</v>
      </c>
      <c r="E470"/>
    </row>
    <row r="471" spans="1:5" x14ac:dyDescent="0.25">
      <c r="A471" s="3">
        <v>1560</v>
      </c>
      <c r="B471" s="4">
        <f>9*1.5</f>
        <v>13.5</v>
      </c>
      <c r="C471" s="3" t="s">
        <v>442</v>
      </c>
      <c r="D471" s="4">
        <v>1.5</v>
      </c>
      <c r="E471"/>
    </row>
    <row r="472" spans="1:5" x14ac:dyDescent="0.25">
      <c r="A472" s="3">
        <v>1788</v>
      </c>
      <c r="B472" s="4">
        <v>2.16</v>
      </c>
      <c r="C472" s="3" t="s">
        <v>443</v>
      </c>
      <c r="D472" s="4">
        <v>0.18</v>
      </c>
      <c r="E472"/>
    </row>
    <row r="473" spans="1:5" x14ac:dyDescent="0.25">
      <c r="A473" s="3">
        <v>1787</v>
      </c>
      <c r="B473" s="4">
        <v>2.16</v>
      </c>
      <c r="C473" s="3" t="s">
        <v>444</v>
      </c>
      <c r="D473" s="4">
        <v>0.18</v>
      </c>
      <c r="E473"/>
    </row>
    <row r="474" spans="1:5" x14ac:dyDescent="0.25">
      <c r="A474" s="3">
        <v>1786</v>
      </c>
      <c r="B474" s="4">
        <v>2.16</v>
      </c>
      <c r="C474" s="3" t="s">
        <v>445</v>
      </c>
      <c r="D474" s="4">
        <v>0.18</v>
      </c>
      <c r="E474"/>
    </row>
    <row r="475" spans="1:5" x14ac:dyDescent="0.25">
      <c r="A475" s="3">
        <v>1383</v>
      </c>
      <c r="B475" s="4">
        <v>30</v>
      </c>
      <c r="C475" s="3" t="s">
        <v>446</v>
      </c>
      <c r="D475" s="4">
        <v>1</v>
      </c>
      <c r="E475"/>
    </row>
    <row r="476" spans="1:5" x14ac:dyDescent="0.25">
      <c r="A476" s="3">
        <v>1059</v>
      </c>
      <c r="B476" s="4">
        <v>6</v>
      </c>
      <c r="C476" s="3" t="s">
        <v>447</v>
      </c>
      <c r="D476" s="4"/>
      <c r="E476"/>
    </row>
    <row r="477" spans="1:5" x14ac:dyDescent="0.25">
      <c r="A477" s="3">
        <v>1369</v>
      </c>
      <c r="B477" s="4">
        <v>10</v>
      </c>
      <c r="C477" s="3" t="s">
        <v>448</v>
      </c>
      <c r="D477" s="4">
        <v>1</v>
      </c>
      <c r="E477"/>
    </row>
    <row r="478" spans="1:5" x14ac:dyDescent="0.25">
      <c r="A478" s="3">
        <v>1350</v>
      </c>
      <c r="B478" s="4">
        <v>7</v>
      </c>
      <c r="C478" s="3" t="s">
        <v>449</v>
      </c>
      <c r="D478" s="4">
        <v>1</v>
      </c>
      <c r="E478"/>
    </row>
    <row r="479" spans="1:5" x14ac:dyDescent="0.25">
      <c r="A479" s="3">
        <v>1675</v>
      </c>
      <c r="B479" s="4">
        <v>5.3</v>
      </c>
      <c r="C479" s="3" t="s">
        <v>450</v>
      </c>
      <c r="D479" s="4"/>
      <c r="E479"/>
    </row>
    <row r="480" spans="1:5" x14ac:dyDescent="0.25">
      <c r="A480" s="3">
        <v>1674</v>
      </c>
      <c r="B480" s="4">
        <v>3.8420000000000001</v>
      </c>
      <c r="C480" s="3" t="s">
        <v>451</v>
      </c>
      <c r="D480" s="4"/>
      <c r="E480"/>
    </row>
    <row r="481" spans="1:5" x14ac:dyDescent="0.25">
      <c r="A481" s="3">
        <v>1673</v>
      </c>
      <c r="B481" s="4">
        <v>10</v>
      </c>
      <c r="C481" s="3" t="s">
        <v>452</v>
      </c>
      <c r="D481" s="4">
        <v>1</v>
      </c>
      <c r="E481"/>
    </row>
    <row r="482" spans="1:5" x14ac:dyDescent="0.25">
      <c r="A482" s="3">
        <v>1622</v>
      </c>
      <c r="B482" s="4">
        <v>10</v>
      </c>
      <c r="C482" s="3" t="s">
        <v>453</v>
      </c>
      <c r="D482" s="4">
        <v>1</v>
      </c>
      <c r="E482"/>
    </row>
    <row r="483" spans="1:5" x14ac:dyDescent="0.25">
      <c r="A483" s="3">
        <v>1621</v>
      </c>
      <c r="B483" s="4">
        <v>15</v>
      </c>
      <c r="C483" s="3" t="s">
        <v>454</v>
      </c>
      <c r="D483" s="4">
        <v>1</v>
      </c>
      <c r="E483"/>
    </row>
    <row r="484" spans="1:5" x14ac:dyDescent="0.25">
      <c r="A484" s="3">
        <v>1179</v>
      </c>
      <c r="B484" s="4">
        <v>12</v>
      </c>
      <c r="C484" s="3" t="s">
        <v>455</v>
      </c>
      <c r="D484" s="4"/>
      <c r="E484"/>
    </row>
    <row r="485" spans="1:5" x14ac:dyDescent="0.25">
      <c r="A485" s="3">
        <v>1742</v>
      </c>
      <c r="B485" s="4">
        <v>13.2</v>
      </c>
      <c r="C485" s="3" t="s">
        <v>456</v>
      </c>
      <c r="D485" s="4">
        <v>3.3</v>
      </c>
      <c r="E485"/>
    </row>
    <row r="486" spans="1:5" x14ac:dyDescent="0.25">
      <c r="A486" s="3">
        <v>1289</v>
      </c>
      <c r="B486" s="4">
        <v>18</v>
      </c>
      <c r="C486" s="3" t="s">
        <v>457</v>
      </c>
      <c r="D486" s="4">
        <v>3</v>
      </c>
      <c r="E486"/>
    </row>
    <row r="487" spans="1:5" x14ac:dyDescent="0.25">
      <c r="A487" s="3">
        <v>1376</v>
      </c>
      <c r="B487" s="4">
        <v>15</v>
      </c>
      <c r="C487" s="3" t="s">
        <v>458</v>
      </c>
      <c r="D487" s="4">
        <v>5</v>
      </c>
      <c r="E487"/>
    </row>
    <row r="488" spans="1:5" x14ac:dyDescent="0.25">
      <c r="A488" s="3">
        <v>1133</v>
      </c>
      <c r="B488" s="4">
        <v>18</v>
      </c>
      <c r="C488" s="3" t="s">
        <v>459</v>
      </c>
      <c r="D488" s="4">
        <v>3</v>
      </c>
      <c r="E488"/>
    </row>
    <row r="489" spans="1:5" x14ac:dyDescent="0.25">
      <c r="A489" s="3">
        <v>1685</v>
      </c>
      <c r="B489" s="4">
        <f>6*3</f>
        <v>18</v>
      </c>
      <c r="C489" s="3" t="s">
        <v>460</v>
      </c>
      <c r="D489" s="4">
        <v>3</v>
      </c>
      <c r="E489"/>
    </row>
    <row r="490" spans="1:5" x14ac:dyDescent="0.25">
      <c r="A490" s="3">
        <v>1804</v>
      </c>
      <c r="B490" s="4">
        <v>18</v>
      </c>
      <c r="C490" s="3" t="s">
        <v>460</v>
      </c>
      <c r="D490" s="4">
        <v>3</v>
      </c>
      <c r="E490"/>
    </row>
    <row r="491" spans="1:5" x14ac:dyDescent="0.25">
      <c r="A491" s="3">
        <v>1768</v>
      </c>
      <c r="B491" s="4">
        <v>20</v>
      </c>
      <c r="C491" s="3" t="s">
        <v>461</v>
      </c>
      <c r="D491" s="4">
        <v>5</v>
      </c>
      <c r="E491"/>
    </row>
    <row r="492" spans="1:5" x14ac:dyDescent="0.25">
      <c r="A492" s="3">
        <v>1591</v>
      </c>
      <c r="B492" s="4">
        <v>6</v>
      </c>
      <c r="C492" s="3" t="s">
        <v>462</v>
      </c>
      <c r="D492" s="4">
        <v>3</v>
      </c>
      <c r="E492"/>
    </row>
    <row r="493" spans="1:5" x14ac:dyDescent="0.25">
      <c r="A493" s="3">
        <v>1794</v>
      </c>
      <c r="B493" s="4">
        <v>5.04</v>
      </c>
      <c r="C493" s="3" t="s">
        <v>463</v>
      </c>
      <c r="D493" s="4">
        <v>0.42</v>
      </c>
      <c r="E493"/>
    </row>
    <row r="494" spans="1:5" x14ac:dyDescent="0.25">
      <c r="A494" s="3">
        <v>1641</v>
      </c>
      <c r="B494" s="4">
        <v>18</v>
      </c>
      <c r="C494" s="3" t="s">
        <v>464</v>
      </c>
      <c r="D494" s="4">
        <v>3</v>
      </c>
      <c r="E494"/>
    </row>
    <row r="495" spans="1:5" x14ac:dyDescent="0.25">
      <c r="A495" s="3">
        <v>1709</v>
      </c>
      <c r="B495" s="4">
        <v>20</v>
      </c>
      <c r="C495" s="3" t="s">
        <v>465</v>
      </c>
      <c r="D495" s="4">
        <v>5</v>
      </c>
      <c r="E495"/>
    </row>
    <row r="496" spans="1:5" x14ac:dyDescent="0.25">
      <c r="A496" s="3">
        <v>1628</v>
      </c>
      <c r="B496" s="4">
        <v>9</v>
      </c>
      <c r="C496" s="3" t="s">
        <v>466</v>
      </c>
      <c r="D496" s="4">
        <v>1</v>
      </c>
      <c r="E496"/>
    </row>
    <row r="497" spans="1:5" x14ac:dyDescent="0.25">
      <c r="A497" s="3">
        <v>1637</v>
      </c>
      <c r="B497" s="4">
        <v>18</v>
      </c>
      <c r="C497" s="3" t="s">
        <v>467</v>
      </c>
      <c r="D497" s="4">
        <v>3</v>
      </c>
      <c r="E497"/>
    </row>
    <row r="498" spans="1:5" x14ac:dyDescent="0.25">
      <c r="A498" s="3">
        <v>1639</v>
      </c>
      <c r="B498" s="4">
        <v>6</v>
      </c>
      <c r="C498" s="3" t="s">
        <v>468</v>
      </c>
      <c r="D498" s="4">
        <v>0.5</v>
      </c>
      <c r="E498"/>
    </row>
    <row r="499" spans="1:5" x14ac:dyDescent="0.25">
      <c r="A499" s="3">
        <v>1858</v>
      </c>
      <c r="B499" s="4">
        <v>10</v>
      </c>
      <c r="C499" s="3" t="s">
        <v>469</v>
      </c>
      <c r="D499" s="4">
        <v>2.5</v>
      </c>
      <c r="E499"/>
    </row>
    <row r="500" spans="1:5" x14ac:dyDescent="0.25">
      <c r="A500" s="3">
        <v>1123</v>
      </c>
      <c r="B500" s="4">
        <v>20</v>
      </c>
      <c r="C500" s="3" t="s">
        <v>470</v>
      </c>
      <c r="D500" s="4">
        <f>20/4</f>
        <v>5</v>
      </c>
      <c r="E500"/>
    </row>
    <row r="501" spans="1:5" x14ac:dyDescent="0.25">
      <c r="A501" s="3">
        <v>1690</v>
      </c>
      <c r="B501" s="4">
        <v>12</v>
      </c>
      <c r="C501" s="3" t="s">
        <v>471</v>
      </c>
      <c r="D501" s="4">
        <v>1</v>
      </c>
      <c r="E501"/>
    </row>
    <row r="502" spans="1:5" x14ac:dyDescent="0.25">
      <c r="A502" s="3">
        <v>1839</v>
      </c>
      <c r="B502" s="4">
        <v>12</v>
      </c>
      <c r="C502" s="3" t="s">
        <v>472</v>
      </c>
      <c r="D502" s="4">
        <v>1</v>
      </c>
      <c r="E502"/>
    </row>
    <row r="503" spans="1:5" x14ac:dyDescent="0.25">
      <c r="A503" s="3">
        <v>1666</v>
      </c>
      <c r="B503" s="4">
        <v>12</v>
      </c>
      <c r="C503" s="3" t="s">
        <v>473</v>
      </c>
      <c r="D503" s="4">
        <v>1</v>
      </c>
      <c r="E503"/>
    </row>
    <row r="504" spans="1:5" x14ac:dyDescent="0.25">
      <c r="A504" s="3">
        <v>1860</v>
      </c>
      <c r="B504" s="4">
        <v>2.4</v>
      </c>
      <c r="C504" s="3" t="s">
        <v>474</v>
      </c>
      <c r="D504" s="4">
        <v>0.2</v>
      </c>
      <c r="E504"/>
    </row>
    <row r="505" spans="1:5" x14ac:dyDescent="0.25">
      <c r="A505" s="3">
        <v>1752</v>
      </c>
      <c r="B505" s="4">
        <v>3</v>
      </c>
      <c r="C505" s="3" t="s">
        <v>475</v>
      </c>
      <c r="D505" s="4"/>
      <c r="E505"/>
    </row>
    <row r="506" spans="1:5" x14ac:dyDescent="0.25">
      <c r="A506" s="3">
        <v>1753</v>
      </c>
      <c r="B506" s="4">
        <v>3</v>
      </c>
      <c r="C506" s="3" t="s">
        <v>476</v>
      </c>
      <c r="D506" s="4"/>
      <c r="E506"/>
    </row>
    <row r="507" spans="1:5" x14ac:dyDescent="0.25">
      <c r="A507" s="3">
        <v>1881</v>
      </c>
      <c r="B507" s="4">
        <v>3</v>
      </c>
      <c r="C507" s="3" t="s">
        <v>477</v>
      </c>
      <c r="D507" s="4">
        <v>0.5</v>
      </c>
      <c r="E507"/>
    </row>
    <row r="508" spans="1:5" x14ac:dyDescent="0.25">
      <c r="A508" s="3">
        <v>1726</v>
      </c>
      <c r="B508" s="4">
        <v>6</v>
      </c>
      <c r="C508" s="3" t="s">
        <v>478</v>
      </c>
      <c r="D508" s="4"/>
      <c r="E508"/>
    </row>
    <row r="509" spans="1:5" x14ac:dyDescent="0.25">
      <c r="A509" s="3">
        <v>1598</v>
      </c>
      <c r="B509" s="4">
        <v>4.5</v>
      </c>
      <c r="C509" s="3" t="s">
        <v>479</v>
      </c>
      <c r="D509" s="4"/>
      <c r="E509"/>
    </row>
    <row r="510" spans="1:5" x14ac:dyDescent="0.25">
      <c r="A510" s="3">
        <v>1511</v>
      </c>
      <c r="B510" s="4">
        <v>4.5</v>
      </c>
      <c r="C510" s="3" t="s">
        <v>480</v>
      </c>
      <c r="D510" s="4"/>
      <c r="E510"/>
    </row>
    <row r="511" spans="1:5" x14ac:dyDescent="0.25">
      <c r="A511" s="3">
        <v>1728</v>
      </c>
      <c r="B511" s="4">
        <v>6</v>
      </c>
      <c r="C511" s="3" t="s">
        <v>481</v>
      </c>
      <c r="D511" s="4">
        <v>0.1</v>
      </c>
      <c r="E511"/>
    </row>
    <row r="512" spans="1:5" x14ac:dyDescent="0.25">
      <c r="A512" s="3">
        <v>1729</v>
      </c>
      <c r="B512" s="4">
        <f>0.4*12</f>
        <v>4.8000000000000007</v>
      </c>
      <c r="C512" s="3" t="s">
        <v>482</v>
      </c>
      <c r="D512" s="4">
        <v>0.4</v>
      </c>
      <c r="E512"/>
    </row>
    <row r="513" spans="1:5" x14ac:dyDescent="0.25">
      <c r="A513" s="3">
        <v>1488</v>
      </c>
      <c r="B513" s="4">
        <v>6</v>
      </c>
      <c r="C513" s="3" t="s">
        <v>483</v>
      </c>
      <c r="D513" s="4">
        <v>0.3</v>
      </c>
      <c r="E513"/>
    </row>
    <row r="514" spans="1:5" x14ac:dyDescent="0.25">
      <c r="A514" s="3">
        <v>1640</v>
      </c>
      <c r="B514" s="4">
        <v>6.4</v>
      </c>
      <c r="C514" s="3" t="s">
        <v>484</v>
      </c>
      <c r="D514" s="4">
        <v>0.4</v>
      </c>
      <c r="E514"/>
    </row>
    <row r="515" spans="1:5" x14ac:dyDescent="0.25">
      <c r="A515" s="3">
        <v>1870</v>
      </c>
      <c r="B515" s="4">
        <v>20</v>
      </c>
      <c r="C515" s="3" t="s">
        <v>485</v>
      </c>
      <c r="D515" s="4"/>
      <c r="E515"/>
    </row>
    <row r="516" spans="1:5" x14ac:dyDescent="0.25">
      <c r="A516" s="5">
        <v>1913</v>
      </c>
      <c r="B516" s="6">
        <v>12</v>
      </c>
      <c r="C516" s="5" t="s">
        <v>486</v>
      </c>
      <c r="D516" s="6"/>
      <c r="E516"/>
    </row>
    <row r="517" spans="1:5" x14ac:dyDescent="0.25">
      <c r="A517" s="5">
        <v>1914</v>
      </c>
      <c r="B517" s="6">
        <v>20</v>
      </c>
      <c r="C517" s="5" t="s">
        <v>487</v>
      </c>
      <c r="D517" s="6"/>
      <c r="E517"/>
    </row>
    <row r="518" spans="1:5" x14ac:dyDescent="0.25">
      <c r="A518" s="5">
        <v>1915</v>
      </c>
      <c r="B518" s="6">
        <v>10</v>
      </c>
      <c r="C518" s="5" t="s">
        <v>488</v>
      </c>
      <c r="D518" s="6">
        <v>5</v>
      </c>
      <c r="E518"/>
    </row>
    <row r="519" spans="1:5" x14ac:dyDescent="0.25">
      <c r="A519" s="5">
        <v>1916</v>
      </c>
      <c r="B519" s="6">
        <v>3.6</v>
      </c>
      <c r="C519" s="5" t="s">
        <v>489</v>
      </c>
      <c r="D519" s="6">
        <v>0.3</v>
      </c>
      <c r="E519"/>
    </row>
    <row r="520" spans="1:5" x14ac:dyDescent="0.25">
      <c r="A520" s="3">
        <v>1909</v>
      </c>
      <c r="B520" s="4">
        <v>2.4</v>
      </c>
      <c r="C520" s="3" t="s">
        <v>311</v>
      </c>
      <c r="D520" s="4">
        <v>0.2</v>
      </c>
      <c r="E520"/>
    </row>
    <row r="521" spans="1:5" x14ac:dyDescent="0.25">
      <c r="A521" s="5">
        <v>1911</v>
      </c>
      <c r="B521" s="6">
        <v>6</v>
      </c>
      <c r="C521" s="5" t="s">
        <v>490</v>
      </c>
      <c r="D521" s="6">
        <v>0.2</v>
      </c>
      <c r="E521"/>
    </row>
    <row r="522" spans="1:5" x14ac:dyDescent="0.25">
      <c r="A522" s="5">
        <v>1910</v>
      </c>
      <c r="B522" s="6">
        <v>6</v>
      </c>
      <c r="C522" s="5" t="s">
        <v>491</v>
      </c>
      <c r="D522" s="6">
        <v>0.2</v>
      </c>
      <c r="E522"/>
    </row>
    <row r="523" spans="1:5" x14ac:dyDescent="0.25">
      <c r="A523" s="5">
        <v>1912</v>
      </c>
      <c r="B523" s="6">
        <f>9*1.5</f>
        <v>13.5</v>
      </c>
      <c r="C523" s="5" t="s">
        <v>492</v>
      </c>
      <c r="D523" s="6">
        <v>1.5</v>
      </c>
      <c r="E523"/>
    </row>
    <row r="524" spans="1:5" x14ac:dyDescent="0.25">
      <c r="A524" s="5">
        <v>1921</v>
      </c>
      <c r="B524" s="6">
        <v>20</v>
      </c>
      <c r="C524" s="5" t="s">
        <v>493</v>
      </c>
      <c r="D524" s="6"/>
      <c r="E524"/>
    </row>
    <row r="525" spans="1:5" x14ac:dyDescent="0.25">
      <c r="A525" s="5">
        <v>1919</v>
      </c>
      <c r="B525" s="6">
        <v>18</v>
      </c>
      <c r="C525" s="5" t="s">
        <v>494</v>
      </c>
      <c r="D525" s="6"/>
      <c r="E525"/>
    </row>
    <row r="526" spans="1:5" x14ac:dyDescent="0.25">
      <c r="A526" s="5">
        <v>1918</v>
      </c>
      <c r="B526" s="6">
        <v>20</v>
      </c>
      <c r="C526" s="5" t="s">
        <v>495</v>
      </c>
      <c r="D526" s="6"/>
      <c r="E526"/>
    </row>
    <row r="527" spans="1:5" x14ac:dyDescent="0.25">
      <c r="A527" s="5">
        <v>1922</v>
      </c>
      <c r="B527" s="6">
        <v>8.0640000000000001</v>
      </c>
      <c r="C527" s="7" t="s">
        <v>496</v>
      </c>
      <c r="D527" s="6">
        <v>0.67200000000000004</v>
      </c>
      <c r="E527"/>
    </row>
    <row r="528" spans="1:5" x14ac:dyDescent="0.25">
      <c r="A528" s="5">
        <v>1920</v>
      </c>
      <c r="B528" s="6">
        <v>18</v>
      </c>
      <c r="C528" s="5" t="s">
        <v>497</v>
      </c>
      <c r="D528" s="6"/>
      <c r="E528"/>
    </row>
    <row r="529" spans="1:5" x14ac:dyDescent="0.25">
      <c r="A529" s="5">
        <v>1923</v>
      </c>
      <c r="B529" s="6">
        <v>2.4</v>
      </c>
      <c r="C529" s="5" t="s">
        <v>498</v>
      </c>
      <c r="D529" s="6"/>
      <c r="E529"/>
    </row>
    <row r="530" spans="1:5" x14ac:dyDescent="0.25">
      <c r="A530" s="5">
        <v>1924</v>
      </c>
      <c r="B530" s="6">
        <v>13</v>
      </c>
      <c r="C530" s="5" t="s">
        <v>499</v>
      </c>
      <c r="D530" s="6">
        <v>1</v>
      </c>
      <c r="E530"/>
    </row>
    <row r="531" spans="1:5" x14ac:dyDescent="0.25">
      <c r="A531" s="5">
        <v>1930</v>
      </c>
      <c r="B531" s="6">
        <v>20</v>
      </c>
      <c r="C531" s="5" t="s">
        <v>500</v>
      </c>
      <c r="D531" s="6"/>
      <c r="E531"/>
    </row>
    <row r="532" spans="1:5" x14ac:dyDescent="0.25">
      <c r="A532" s="5">
        <v>1929</v>
      </c>
      <c r="B532" s="6">
        <v>3.6</v>
      </c>
      <c r="C532" s="5" t="s">
        <v>501</v>
      </c>
      <c r="D532" s="6">
        <v>0.24</v>
      </c>
      <c r="E532"/>
    </row>
    <row r="533" spans="1:5" x14ac:dyDescent="0.25">
      <c r="A533" s="5">
        <v>1928</v>
      </c>
      <c r="B533" s="6">
        <v>18</v>
      </c>
      <c r="C533" s="5" t="s">
        <v>502</v>
      </c>
      <c r="D533" s="6"/>
      <c r="E533"/>
    </row>
    <row r="534" spans="1:5" x14ac:dyDescent="0.25">
      <c r="A534" s="5">
        <v>1927</v>
      </c>
      <c r="B534" s="6">
        <v>18</v>
      </c>
      <c r="C534" s="5" t="s">
        <v>503</v>
      </c>
      <c r="D534" s="6"/>
      <c r="E534"/>
    </row>
    <row r="535" spans="1:5" x14ac:dyDescent="0.25">
      <c r="A535" s="5">
        <v>1939</v>
      </c>
      <c r="B535" s="6">
        <v>27</v>
      </c>
      <c r="C535" s="5" t="s">
        <v>504</v>
      </c>
      <c r="D535" s="6">
        <v>1</v>
      </c>
      <c r="E535"/>
    </row>
    <row r="536" spans="1:5" x14ac:dyDescent="0.25">
      <c r="A536" s="5">
        <v>1938</v>
      </c>
      <c r="B536" s="6">
        <v>6</v>
      </c>
      <c r="C536" s="5" t="s">
        <v>505</v>
      </c>
      <c r="D536" s="6">
        <v>0.3</v>
      </c>
      <c r="E536"/>
    </row>
    <row r="537" spans="1:5" x14ac:dyDescent="0.25">
      <c r="A537" s="5">
        <v>1936</v>
      </c>
      <c r="B537" s="6">
        <v>12</v>
      </c>
      <c r="C537" s="5" t="s">
        <v>506</v>
      </c>
      <c r="D537" s="6">
        <v>1</v>
      </c>
      <c r="E537"/>
    </row>
    <row r="538" spans="1:5" x14ac:dyDescent="0.25">
      <c r="A538" s="5">
        <v>1937</v>
      </c>
      <c r="B538" s="6">
        <v>18</v>
      </c>
      <c r="C538" s="5" t="s">
        <v>507</v>
      </c>
      <c r="D538" s="6">
        <v>1</v>
      </c>
      <c r="E538"/>
    </row>
    <row r="539" spans="1:5" x14ac:dyDescent="0.25">
      <c r="A539" s="5">
        <v>1933</v>
      </c>
      <c r="B539" s="6">
        <v>14.5</v>
      </c>
      <c r="C539" s="5" t="s">
        <v>508</v>
      </c>
      <c r="D539" s="6">
        <f>B539/4</f>
        <v>3.625</v>
      </c>
      <c r="E539"/>
    </row>
    <row r="540" spans="1:5" x14ac:dyDescent="0.25">
      <c r="A540" s="5">
        <v>1934</v>
      </c>
      <c r="B540" s="6">
        <v>15</v>
      </c>
      <c r="C540" s="5" t="s">
        <v>509</v>
      </c>
      <c r="D540" s="6">
        <v>2.5</v>
      </c>
      <c r="E540"/>
    </row>
    <row r="541" spans="1:5" x14ac:dyDescent="0.25">
      <c r="A541" s="5">
        <v>1935</v>
      </c>
      <c r="B541" s="6">
        <v>12</v>
      </c>
      <c r="C541" s="5" t="s">
        <v>510</v>
      </c>
      <c r="D541" s="6">
        <v>1</v>
      </c>
      <c r="E541"/>
    </row>
    <row r="542" spans="1:5" x14ac:dyDescent="0.25">
      <c r="A542" s="5">
        <v>1908</v>
      </c>
      <c r="B542" s="6">
        <v>10.5</v>
      </c>
      <c r="C542" s="5" t="s">
        <v>511</v>
      </c>
      <c r="D542" s="6"/>
      <c r="E542"/>
    </row>
    <row r="543" spans="1:5" x14ac:dyDescent="0.25">
      <c r="A543" s="5">
        <v>1940</v>
      </c>
      <c r="B543" s="6">
        <v>22</v>
      </c>
      <c r="C543" s="5" t="s">
        <v>180</v>
      </c>
      <c r="D543" s="6"/>
      <c r="E543"/>
    </row>
    <row r="544" spans="1:5" x14ac:dyDescent="0.25">
      <c r="A544" s="5">
        <v>1941</v>
      </c>
      <c r="B544" s="6">
        <v>7.5</v>
      </c>
      <c r="C544" s="5" t="s">
        <v>512</v>
      </c>
      <c r="D544" s="6">
        <v>2.5</v>
      </c>
      <c r="E544"/>
    </row>
    <row r="545" spans="1:5" x14ac:dyDescent="0.25">
      <c r="A545" s="5">
        <v>1946</v>
      </c>
      <c r="B545" s="6">
        <v>8</v>
      </c>
      <c r="C545" s="5" t="s">
        <v>513</v>
      </c>
      <c r="D545" s="6"/>
      <c r="E545"/>
    </row>
    <row r="546" spans="1:5" x14ac:dyDescent="0.25">
      <c r="A546" s="5">
        <v>1944</v>
      </c>
      <c r="B546" s="6">
        <v>12</v>
      </c>
      <c r="C546" s="5" t="s">
        <v>514</v>
      </c>
      <c r="D546" s="6">
        <v>1</v>
      </c>
      <c r="E546"/>
    </row>
    <row r="547" spans="1:5" x14ac:dyDescent="0.25">
      <c r="A547" s="5">
        <v>1945</v>
      </c>
      <c r="B547" s="6">
        <v>10</v>
      </c>
      <c r="C547" s="5" t="s">
        <v>515</v>
      </c>
      <c r="D547" s="6">
        <v>5</v>
      </c>
      <c r="E547"/>
    </row>
    <row r="548" spans="1:5" x14ac:dyDescent="0.25">
      <c r="A548" s="5">
        <v>1943</v>
      </c>
      <c r="B548" s="6">
        <v>11.2</v>
      </c>
      <c r="C548" s="5" t="s">
        <v>516</v>
      </c>
      <c r="D548" s="6">
        <v>0.7</v>
      </c>
      <c r="E548"/>
    </row>
    <row r="549" spans="1:5" x14ac:dyDescent="0.25">
      <c r="A549" s="5">
        <v>1942</v>
      </c>
      <c r="B549" s="6">
        <v>3</v>
      </c>
      <c r="C549" s="5" t="s">
        <v>517</v>
      </c>
      <c r="D549" s="6"/>
      <c r="E549"/>
    </row>
    <row r="550" spans="1:5" x14ac:dyDescent="0.25">
      <c r="A550" s="5">
        <v>1947</v>
      </c>
      <c r="B550" s="6">
        <v>15</v>
      </c>
      <c r="C550" s="5" t="s">
        <v>518</v>
      </c>
      <c r="D550" s="6">
        <v>5</v>
      </c>
      <c r="E550"/>
    </row>
    <row r="551" spans="1:5" x14ac:dyDescent="0.25">
      <c r="A551" s="5">
        <v>1949</v>
      </c>
      <c r="B551" s="6">
        <v>1</v>
      </c>
      <c r="C551" s="5" t="s">
        <v>519</v>
      </c>
      <c r="D551" s="6"/>
      <c r="E551"/>
    </row>
    <row r="552" spans="1:5" x14ac:dyDescent="0.25">
      <c r="A552" s="5">
        <v>1950</v>
      </c>
      <c r="B552" s="6">
        <v>1</v>
      </c>
      <c r="C552" s="5" t="s">
        <v>520</v>
      </c>
      <c r="D552" s="6"/>
      <c r="E552"/>
    </row>
    <row r="553" spans="1:5" x14ac:dyDescent="0.25">
      <c r="A553" s="5">
        <v>1952</v>
      </c>
      <c r="B553" s="6">
        <v>2.88</v>
      </c>
      <c r="C553" s="5" t="s">
        <v>521</v>
      </c>
      <c r="D553" s="6">
        <v>0.18</v>
      </c>
      <c r="E553"/>
    </row>
    <row r="554" spans="1:5" x14ac:dyDescent="0.25">
      <c r="A554" s="5">
        <v>1954</v>
      </c>
      <c r="B554" s="6">
        <v>8</v>
      </c>
      <c r="C554" s="5" t="s">
        <v>522</v>
      </c>
      <c r="D554" s="6">
        <v>1</v>
      </c>
      <c r="E554"/>
    </row>
    <row r="555" spans="1:5" x14ac:dyDescent="0.25">
      <c r="A555" s="5">
        <v>1953</v>
      </c>
      <c r="B555" s="6">
        <v>12</v>
      </c>
      <c r="C555" s="5" t="s">
        <v>523</v>
      </c>
      <c r="D555" s="6">
        <v>1</v>
      </c>
      <c r="E555"/>
    </row>
    <row r="556" spans="1:5" x14ac:dyDescent="0.25">
      <c r="A556" s="5">
        <v>1951</v>
      </c>
      <c r="B556" s="6">
        <v>3</v>
      </c>
      <c r="C556" s="5" t="s">
        <v>524</v>
      </c>
      <c r="D556" s="6">
        <v>0.3</v>
      </c>
      <c r="E556"/>
    </row>
    <row r="557" spans="1:5" x14ac:dyDescent="0.25">
      <c r="A557" s="5">
        <v>1956</v>
      </c>
      <c r="B557" s="6">
        <v>16.5</v>
      </c>
      <c r="C557" s="5" t="s">
        <v>525</v>
      </c>
      <c r="D557" s="6"/>
      <c r="E557"/>
    </row>
    <row r="558" spans="1:5" x14ac:dyDescent="0.25">
      <c r="A558" s="5">
        <v>1959</v>
      </c>
      <c r="B558" s="6">
        <v>5.6</v>
      </c>
      <c r="C558" s="5" t="s">
        <v>526</v>
      </c>
      <c r="D558" s="6">
        <v>0.4</v>
      </c>
      <c r="E558"/>
    </row>
    <row r="559" spans="1:5" x14ac:dyDescent="0.25">
      <c r="A559" s="5">
        <v>1958</v>
      </c>
      <c r="B559" s="6">
        <v>1</v>
      </c>
      <c r="C559" s="5" t="s">
        <v>527</v>
      </c>
      <c r="D559" s="6"/>
      <c r="E559"/>
    </row>
    <row r="560" spans="1:5" x14ac:dyDescent="0.25">
      <c r="A560" s="5">
        <v>1957</v>
      </c>
      <c r="B560" s="6">
        <v>1</v>
      </c>
      <c r="C560" s="5" t="s">
        <v>528</v>
      </c>
      <c r="D560" s="6"/>
      <c r="E560"/>
    </row>
    <row r="561" spans="1:5" x14ac:dyDescent="0.25">
      <c r="A561" s="5">
        <v>1964</v>
      </c>
      <c r="B561" s="6">
        <v>18</v>
      </c>
      <c r="C561" s="5" t="s">
        <v>529</v>
      </c>
      <c r="D561" s="6">
        <v>1</v>
      </c>
      <c r="E561"/>
    </row>
    <row r="562" spans="1:5" x14ac:dyDescent="0.25">
      <c r="A562" s="5">
        <v>1963</v>
      </c>
      <c r="B562" s="6">
        <v>20</v>
      </c>
      <c r="C562" s="5" t="s">
        <v>530</v>
      </c>
      <c r="D562" s="6"/>
      <c r="E562"/>
    </row>
    <row r="563" spans="1:5" x14ac:dyDescent="0.25">
      <c r="A563" s="5">
        <v>1962</v>
      </c>
      <c r="B563" s="6">
        <v>20</v>
      </c>
      <c r="C563" s="5" t="s">
        <v>531</v>
      </c>
      <c r="D563" s="6"/>
      <c r="E563"/>
    </row>
    <row r="564" spans="1:5" x14ac:dyDescent="0.25">
      <c r="A564" s="5">
        <v>1961</v>
      </c>
      <c r="B564" s="6">
        <v>15</v>
      </c>
      <c r="C564" s="5" t="s">
        <v>532</v>
      </c>
      <c r="D564" s="6">
        <v>1</v>
      </c>
      <c r="E564"/>
    </row>
    <row r="565" spans="1:5" x14ac:dyDescent="0.25">
      <c r="A565" s="5">
        <v>1960</v>
      </c>
      <c r="B565" s="6">
        <v>10</v>
      </c>
      <c r="C565" s="5" t="s">
        <v>533</v>
      </c>
      <c r="D565" s="6">
        <v>0.5</v>
      </c>
      <c r="E565"/>
    </row>
    <row r="566" spans="1:5" x14ac:dyDescent="0.25">
      <c r="A566" s="5">
        <v>1966</v>
      </c>
      <c r="B566" s="6">
        <v>8</v>
      </c>
      <c r="C566" s="5" t="s">
        <v>534</v>
      </c>
      <c r="D566" s="6">
        <v>1</v>
      </c>
      <c r="E566"/>
    </row>
    <row r="567" spans="1:5" x14ac:dyDescent="0.25">
      <c r="A567" s="5">
        <v>1965</v>
      </c>
      <c r="B567" s="6">
        <v>18</v>
      </c>
      <c r="C567" s="5" t="s">
        <v>535</v>
      </c>
      <c r="D567" s="6">
        <v>0.5</v>
      </c>
      <c r="E567"/>
    </row>
    <row r="568" spans="1:5" x14ac:dyDescent="0.25">
      <c r="A568" s="5">
        <v>1969</v>
      </c>
      <c r="B568" s="6">
        <v>12</v>
      </c>
      <c r="C568" s="5" t="s">
        <v>536</v>
      </c>
      <c r="D568" s="6">
        <v>1</v>
      </c>
      <c r="E568"/>
    </row>
    <row r="569" spans="1:5" x14ac:dyDescent="0.25">
      <c r="A569" s="5">
        <v>1967</v>
      </c>
      <c r="B569" s="6">
        <v>2.4</v>
      </c>
      <c r="C569" s="5" t="s">
        <v>537</v>
      </c>
      <c r="D569" s="6">
        <v>0.2</v>
      </c>
      <c r="E569"/>
    </row>
    <row r="570" spans="1:5" x14ac:dyDescent="0.25">
      <c r="A570" s="5">
        <v>1968</v>
      </c>
      <c r="B570" s="6">
        <v>2.4</v>
      </c>
      <c r="C570" s="5" t="s">
        <v>538</v>
      </c>
      <c r="D570" s="6">
        <v>0.2</v>
      </c>
      <c r="E570"/>
    </row>
    <row r="571" spans="1:5" x14ac:dyDescent="0.25">
      <c r="A571" s="5">
        <v>1971</v>
      </c>
      <c r="B571" s="6">
        <v>11.2</v>
      </c>
      <c r="C571" s="5" t="s">
        <v>539</v>
      </c>
      <c r="D571" s="6">
        <v>0.7</v>
      </c>
      <c r="E571"/>
    </row>
    <row r="572" spans="1:5" x14ac:dyDescent="0.25">
      <c r="A572" s="5">
        <v>1978</v>
      </c>
      <c r="B572" s="6">
        <v>3</v>
      </c>
      <c r="C572" s="5" t="s">
        <v>540</v>
      </c>
      <c r="D572" s="6">
        <v>0.5</v>
      </c>
      <c r="E572"/>
    </row>
    <row r="573" spans="1:5" x14ac:dyDescent="0.25">
      <c r="A573" s="5">
        <v>1977</v>
      </c>
      <c r="B573" s="6">
        <v>2.4</v>
      </c>
      <c r="C573" s="5" t="s">
        <v>541</v>
      </c>
      <c r="D573" s="6">
        <v>0.2</v>
      </c>
      <c r="E573"/>
    </row>
    <row r="574" spans="1:5" x14ac:dyDescent="0.25">
      <c r="A574" s="5">
        <v>1982</v>
      </c>
      <c r="B574" s="6">
        <v>20</v>
      </c>
      <c r="C574" s="5" t="s">
        <v>542</v>
      </c>
      <c r="D574" s="6"/>
      <c r="E574"/>
    </row>
    <row r="575" spans="1:5" x14ac:dyDescent="0.25">
      <c r="A575" s="5">
        <v>1981</v>
      </c>
      <c r="B575" s="6">
        <v>20</v>
      </c>
      <c r="C575" s="5" t="s">
        <v>543</v>
      </c>
      <c r="D575" s="6"/>
      <c r="E575"/>
    </row>
    <row r="576" spans="1:5" x14ac:dyDescent="0.25">
      <c r="A576" s="5">
        <v>1983</v>
      </c>
      <c r="B576" s="6">
        <v>18</v>
      </c>
      <c r="C576" s="5" t="s">
        <v>544</v>
      </c>
      <c r="D576" s="6"/>
      <c r="E576"/>
    </row>
    <row r="577" spans="1:5" x14ac:dyDescent="0.25">
      <c r="A577" s="5">
        <v>1980</v>
      </c>
      <c r="B577" s="6">
        <v>20</v>
      </c>
      <c r="C577" s="5" t="s">
        <v>545</v>
      </c>
      <c r="D577" s="6"/>
      <c r="E577"/>
    </row>
    <row r="578" spans="1:5" x14ac:dyDescent="0.25">
      <c r="A578" s="5">
        <v>1979</v>
      </c>
      <c r="B578" s="6">
        <v>6</v>
      </c>
      <c r="C578" s="5" t="s">
        <v>546</v>
      </c>
      <c r="D578" s="6">
        <v>1</v>
      </c>
      <c r="E578"/>
    </row>
    <row r="579" spans="1:5" x14ac:dyDescent="0.25">
      <c r="A579" s="5">
        <v>1948</v>
      </c>
      <c r="B579" s="6">
        <v>12</v>
      </c>
      <c r="C579" s="5" t="s">
        <v>547</v>
      </c>
      <c r="D579" s="6">
        <v>1</v>
      </c>
      <c r="E579"/>
    </row>
    <row r="580" spans="1:5" x14ac:dyDescent="0.25">
      <c r="A580" s="5">
        <v>1985</v>
      </c>
      <c r="B580" s="6">
        <v>4.2</v>
      </c>
      <c r="C580" s="5" t="s">
        <v>548</v>
      </c>
      <c r="D580" s="6">
        <v>0.2</v>
      </c>
      <c r="E580"/>
    </row>
    <row r="581" spans="1:5" x14ac:dyDescent="0.25">
      <c r="A581" s="5">
        <v>1986</v>
      </c>
      <c r="B581" s="6">
        <v>6</v>
      </c>
      <c r="C581" s="5" t="s">
        <v>549</v>
      </c>
      <c r="D581" s="6">
        <v>1</v>
      </c>
      <c r="E581"/>
    </row>
    <row r="582" spans="1:5" x14ac:dyDescent="0.25">
      <c r="A582" s="5">
        <v>1984</v>
      </c>
      <c r="B582" s="6">
        <v>7.5</v>
      </c>
      <c r="C582" s="5" t="s">
        <v>550</v>
      </c>
      <c r="D582" s="6">
        <v>2.5</v>
      </c>
      <c r="E582"/>
    </row>
    <row r="583" spans="1:5" x14ac:dyDescent="0.25">
      <c r="A583" s="5">
        <v>1988</v>
      </c>
      <c r="B583" s="6">
        <v>25</v>
      </c>
      <c r="C583" s="5" t="s">
        <v>551</v>
      </c>
      <c r="D583" s="6">
        <v>1</v>
      </c>
      <c r="E583"/>
    </row>
    <row r="584" spans="1:5" x14ac:dyDescent="0.25">
      <c r="A584" s="5">
        <v>1990</v>
      </c>
      <c r="B584" s="6">
        <v>20</v>
      </c>
      <c r="C584" s="5" t="s">
        <v>552</v>
      </c>
      <c r="D584" s="6">
        <v>5</v>
      </c>
      <c r="E584"/>
    </row>
    <row r="585" spans="1:5" x14ac:dyDescent="0.25">
      <c r="A585" s="5">
        <v>1991</v>
      </c>
      <c r="B585" s="6">
        <v>20</v>
      </c>
      <c r="C585" s="5" t="s">
        <v>553</v>
      </c>
      <c r="D585" s="6"/>
      <c r="E585"/>
    </row>
    <row r="586" spans="1:5" x14ac:dyDescent="0.25">
      <c r="A586" s="5">
        <v>1989</v>
      </c>
      <c r="B586" s="6">
        <v>6</v>
      </c>
      <c r="C586" s="5" t="s">
        <v>554</v>
      </c>
      <c r="D586" s="6"/>
      <c r="E586"/>
    </row>
    <row r="587" spans="1:5" x14ac:dyDescent="0.25">
      <c r="A587" s="5">
        <v>1992</v>
      </c>
      <c r="B587" s="6">
        <v>12</v>
      </c>
      <c r="C587" s="5" t="s">
        <v>555</v>
      </c>
      <c r="D587" s="6">
        <v>1</v>
      </c>
      <c r="E587"/>
    </row>
    <row r="588" spans="1:5" x14ac:dyDescent="0.25">
      <c r="A588" s="5">
        <v>1993</v>
      </c>
      <c r="B588" s="6">
        <v>12</v>
      </c>
      <c r="C588" s="5" t="s">
        <v>556</v>
      </c>
      <c r="D588" s="6">
        <v>1</v>
      </c>
      <c r="E588"/>
    </row>
    <row r="589" spans="1:5" x14ac:dyDescent="0.25">
      <c r="A589" s="5">
        <v>1996</v>
      </c>
      <c r="B589" s="6">
        <v>2.4</v>
      </c>
      <c r="C589" s="5" t="s">
        <v>557</v>
      </c>
      <c r="D589" s="6">
        <v>0.2</v>
      </c>
      <c r="E589"/>
    </row>
    <row r="590" spans="1:5" x14ac:dyDescent="0.25">
      <c r="A590" s="5">
        <v>1997</v>
      </c>
      <c r="B590" s="6">
        <v>10.8</v>
      </c>
      <c r="C590" s="5" t="s">
        <v>558</v>
      </c>
      <c r="D590" s="6">
        <f>10.8/6</f>
        <v>1.8</v>
      </c>
      <c r="E590"/>
    </row>
    <row r="591" spans="1:5" x14ac:dyDescent="0.25">
      <c r="A591" s="5">
        <v>1998</v>
      </c>
      <c r="B591" s="6">
        <v>9.6</v>
      </c>
      <c r="C591" s="5" t="s">
        <v>559</v>
      </c>
      <c r="D591" s="6">
        <v>0.4</v>
      </c>
      <c r="E591"/>
    </row>
    <row r="592" spans="1:5" x14ac:dyDescent="0.25">
      <c r="A592" s="5">
        <v>1995</v>
      </c>
      <c r="B592" s="6">
        <v>2.4</v>
      </c>
      <c r="C592" s="5" t="s">
        <v>560</v>
      </c>
      <c r="D592" s="6"/>
      <c r="E592"/>
    </row>
    <row r="593" spans="1:5" x14ac:dyDescent="0.25">
      <c r="A593" s="5">
        <v>1994</v>
      </c>
      <c r="B593" s="6">
        <v>2.4</v>
      </c>
      <c r="C593" s="5" t="s">
        <v>561</v>
      </c>
      <c r="D593" s="6"/>
      <c r="E593"/>
    </row>
    <row r="594" spans="1:5" x14ac:dyDescent="0.25">
      <c r="A594" s="5">
        <v>2004</v>
      </c>
      <c r="B594" s="6">
        <v>20</v>
      </c>
      <c r="C594" s="5" t="s">
        <v>562</v>
      </c>
      <c r="D594" s="6"/>
      <c r="E594"/>
    </row>
    <row r="595" spans="1:5" x14ac:dyDescent="0.25">
      <c r="A595" s="5">
        <v>2005</v>
      </c>
      <c r="B595" s="6">
        <v>14.4</v>
      </c>
      <c r="C595" s="5" t="s">
        <v>563</v>
      </c>
      <c r="D595" s="6">
        <v>0.4</v>
      </c>
      <c r="E595"/>
    </row>
    <row r="596" spans="1:5" x14ac:dyDescent="0.25">
      <c r="A596" s="5">
        <v>2006</v>
      </c>
      <c r="B596" s="6">
        <v>3.6</v>
      </c>
      <c r="C596" s="5" t="s">
        <v>564</v>
      </c>
      <c r="D596" s="6">
        <v>0.3</v>
      </c>
      <c r="E596"/>
    </row>
    <row r="597" spans="1:5" x14ac:dyDescent="0.25">
      <c r="A597" s="5">
        <v>2000</v>
      </c>
      <c r="B597" s="6">
        <v>72</v>
      </c>
      <c r="C597" s="5" t="s">
        <v>565</v>
      </c>
      <c r="D597" s="6">
        <v>1</v>
      </c>
      <c r="E597"/>
    </row>
    <row r="598" spans="1:5" x14ac:dyDescent="0.25">
      <c r="A598" s="5">
        <v>2013</v>
      </c>
      <c r="B598" s="6">
        <v>10</v>
      </c>
      <c r="C598" s="5" t="s">
        <v>566</v>
      </c>
      <c r="D598" s="6">
        <v>0.5</v>
      </c>
      <c r="E598"/>
    </row>
    <row r="599" spans="1:5" x14ac:dyDescent="0.25">
      <c r="A599" s="5">
        <v>2015</v>
      </c>
      <c r="B599" s="6">
        <v>10</v>
      </c>
      <c r="C599" s="5" t="s">
        <v>567</v>
      </c>
      <c r="D599" s="6">
        <v>2.5</v>
      </c>
      <c r="E599"/>
    </row>
    <row r="600" spans="1:5" x14ac:dyDescent="0.25">
      <c r="A600" s="5">
        <v>2014</v>
      </c>
      <c r="B600" s="6">
        <v>10</v>
      </c>
      <c r="C600" s="5" t="s">
        <v>568</v>
      </c>
      <c r="D600" s="6">
        <v>5</v>
      </c>
      <c r="E600"/>
    </row>
    <row r="601" spans="1:5" x14ac:dyDescent="0.25">
      <c r="A601" s="5">
        <v>2019</v>
      </c>
      <c r="B601" s="6">
        <v>10</v>
      </c>
      <c r="C601" s="5" t="s">
        <v>569</v>
      </c>
      <c r="D601" s="6">
        <v>1</v>
      </c>
      <c r="E601"/>
    </row>
    <row r="602" spans="1:5" x14ac:dyDescent="0.25">
      <c r="A602" s="5">
        <v>2021</v>
      </c>
      <c r="B602" s="6">
        <v>10</v>
      </c>
      <c r="C602" s="5" t="s">
        <v>570</v>
      </c>
      <c r="D602" s="6">
        <v>2.5</v>
      </c>
      <c r="E602"/>
    </row>
    <row r="603" spans="1:5" x14ac:dyDescent="0.25">
      <c r="A603" s="5">
        <v>2020</v>
      </c>
      <c r="B603" s="6">
        <v>10</v>
      </c>
      <c r="C603" s="5" t="s">
        <v>571</v>
      </c>
      <c r="D603" s="6">
        <v>0.5</v>
      </c>
      <c r="E603"/>
    </row>
    <row r="604" spans="1:5" x14ac:dyDescent="0.25">
      <c r="A604" s="5">
        <v>2010</v>
      </c>
      <c r="B604" s="6">
        <v>10</v>
      </c>
      <c r="C604" s="5" t="s">
        <v>572</v>
      </c>
      <c r="D604" s="6">
        <v>1</v>
      </c>
      <c r="E604"/>
    </row>
    <row r="605" spans="1:5" x14ac:dyDescent="0.25">
      <c r="A605" s="5">
        <v>2011</v>
      </c>
      <c r="B605" s="6">
        <v>10</v>
      </c>
      <c r="C605" s="5" t="s">
        <v>573</v>
      </c>
      <c r="D605" s="6">
        <v>2.5</v>
      </c>
      <c r="E605"/>
    </row>
    <row r="606" spans="1:5" x14ac:dyDescent="0.25">
      <c r="A606" s="5">
        <v>2012</v>
      </c>
      <c r="B606" s="6">
        <v>10</v>
      </c>
      <c r="C606" s="5" t="s">
        <v>574</v>
      </c>
      <c r="D606" s="6">
        <v>0.5</v>
      </c>
      <c r="E606"/>
    </row>
    <row r="607" spans="1:5" x14ac:dyDescent="0.25">
      <c r="A607" s="5">
        <v>2016</v>
      </c>
      <c r="B607" s="6">
        <v>10</v>
      </c>
      <c r="C607" s="5" t="s">
        <v>575</v>
      </c>
      <c r="D607" s="6">
        <v>1</v>
      </c>
      <c r="E607"/>
    </row>
    <row r="608" spans="1:5" x14ac:dyDescent="0.25">
      <c r="A608" s="5">
        <v>2018</v>
      </c>
      <c r="B608" s="6">
        <v>10</v>
      </c>
      <c r="C608" s="5" t="s">
        <v>576</v>
      </c>
      <c r="D608" s="6">
        <v>2.5</v>
      </c>
      <c r="E608"/>
    </row>
    <row r="609" spans="1:5" x14ac:dyDescent="0.25">
      <c r="A609" s="5">
        <v>2017</v>
      </c>
      <c r="B609" s="6">
        <v>10</v>
      </c>
      <c r="C609" s="5" t="s">
        <v>577</v>
      </c>
      <c r="D609" s="6">
        <v>0.5</v>
      </c>
      <c r="E609"/>
    </row>
    <row r="610" spans="1:5" x14ac:dyDescent="0.25">
      <c r="A610" s="5">
        <v>2022</v>
      </c>
      <c r="B610" s="6">
        <v>10</v>
      </c>
      <c r="C610" s="5" t="s">
        <v>578</v>
      </c>
      <c r="D610" s="6">
        <v>0.5</v>
      </c>
      <c r="E610"/>
    </row>
    <row r="611" spans="1:5" x14ac:dyDescent="0.25">
      <c r="A611" s="5">
        <v>2023</v>
      </c>
      <c r="B611" s="6">
        <v>10</v>
      </c>
      <c r="C611" s="5" t="s">
        <v>579</v>
      </c>
      <c r="D611" s="6">
        <v>5</v>
      </c>
      <c r="E611"/>
    </row>
    <row r="612" spans="1:5" x14ac:dyDescent="0.25">
      <c r="A612" s="5">
        <v>2025</v>
      </c>
      <c r="B612" s="6">
        <v>10</v>
      </c>
      <c r="C612" s="5" t="s">
        <v>580</v>
      </c>
      <c r="D612" s="6">
        <v>1</v>
      </c>
      <c r="E612"/>
    </row>
    <row r="613" spans="1:5" x14ac:dyDescent="0.25">
      <c r="A613" s="5">
        <v>2026</v>
      </c>
      <c r="B613" s="6">
        <v>10</v>
      </c>
      <c r="C613" s="5" t="s">
        <v>581</v>
      </c>
      <c r="D613" s="6">
        <v>0.5</v>
      </c>
      <c r="E613"/>
    </row>
    <row r="614" spans="1:5" x14ac:dyDescent="0.25">
      <c r="A614" s="5">
        <v>2024</v>
      </c>
      <c r="B614" s="6">
        <v>10</v>
      </c>
      <c r="C614" s="5" t="s">
        <v>582</v>
      </c>
      <c r="D614" s="6">
        <v>5</v>
      </c>
      <c r="E614"/>
    </row>
    <row r="615" spans="1:5" x14ac:dyDescent="0.25">
      <c r="A615" s="5">
        <v>2009</v>
      </c>
      <c r="B615" s="6">
        <v>3</v>
      </c>
      <c r="C615" s="5" t="s">
        <v>583</v>
      </c>
      <c r="D615" s="6"/>
      <c r="E615"/>
    </row>
    <row r="616" spans="1:5" x14ac:dyDescent="0.25">
      <c r="A616" s="5">
        <v>2032</v>
      </c>
      <c r="B616" s="6">
        <v>27</v>
      </c>
      <c r="C616" s="5" t="s">
        <v>584</v>
      </c>
      <c r="D616" s="6"/>
      <c r="E616"/>
    </row>
    <row r="617" spans="1:5" x14ac:dyDescent="0.25">
      <c r="A617" s="5">
        <v>2031</v>
      </c>
      <c r="B617" s="6">
        <v>12</v>
      </c>
      <c r="C617" s="5" t="s">
        <v>585</v>
      </c>
      <c r="D617" s="6">
        <v>1</v>
      </c>
      <c r="E617"/>
    </row>
    <row r="618" spans="1:5" x14ac:dyDescent="0.25">
      <c r="A618" s="5">
        <v>2003</v>
      </c>
      <c r="B618" s="6">
        <v>72</v>
      </c>
      <c r="C618" s="5" t="s">
        <v>208</v>
      </c>
      <c r="D618" s="6">
        <v>1</v>
      </c>
      <c r="E618"/>
    </row>
    <row r="619" spans="1:5" x14ac:dyDescent="0.25">
      <c r="A619" s="5">
        <v>2030</v>
      </c>
      <c r="B619" s="6">
        <v>6.48</v>
      </c>
      <c r="C619" s="5" t="s">
        <v>586</v>
      </c>
      <c r="D619" s="6"/>
      <c r="E619"/>
    </row>
    <row r="620" spans="1:5" x14ac:dyDescent="0.25">
      <c r="A620" s="5">
        <v>2038</v>
      </c>
      <c r="B620" s="6">
        <v>18</v>
      </c>
      <c r="C620" s="5" t="s">
        <v>587</v>
      </c>
      <c r="D620" s="6"/>
      <c r="E620"/>
    </row>
    <row r="621" spans="1:5" x14ac:dyDescent="0.25">
      <c r="A621" s="5">
        <v>2037</v>
      </c>
      <c r="B621" s="6">
        <v>15</v>
      </c>
      <c r="C621" s="5" t="s">
        <v>588</v>
      </c>
      <c r="D621" s="6">
        <v>2.5</v>
      </c>
      <c r="E621"/>
    </row>
    <row r="622" spans="1:5" x14ac:dyDescent="0.25">
      <c r="A622" s="5">
        <v>2039</v>
      </c>
      <c r="B622" s="6">
        <v>20</v>
      </c>
      <c r="C622" s="5" t="s">
        <v>589</v>
      </c>
      <c r="D622" s="6"/>
      <c r="E622"/>
    </row>
    <row r="623" spans="1:5" x14ac:dyDescent="0.25">
      <c r="A623" s="5">
        <v>2033</v>
      </c>
      <c r="B623" s="6">
        <f>4.2*6</f>
        <v>25.200000000000003</v>
      </c>
      <c r="C623" s="5" t="s">
        <v>590</v>
      </c>
      <c r="D623" s="6">
        <f>25.2/6</f>
        <v>4.2</v>
      </c>
      <c r="E623"/>
    </row>
    <row r="624" spans="1:5" x14ac:dyDescent="0.25">
      <c r="A624" s="5">
        <v>2040</v>
      </c>
      <c r="B624" s="6">
        <v>12</v>
      </c>
      <c r="C624" s="5" t="s">
        <v>591</v>
      </c>
      <c r="D624" s="6"/>
      <c r="E624"/>
    </row>
    <row r="625" spans="1:5" x14ac:dyDescent="0.25">
      <c r="A625" s="5">
        <v>2042</v>
      </c>
      <c r="B625" s="6">
        <f>6*0.9</f>
        <v>5.4</v>
      </c>
      <c r="C625" s="5" t="s">
        <v>592</v>
      </c>
      <c r="D625" s="6">
        <v>0.54</v>
      </c>
      <c r="E625"/>
    </row>
    <row r="626" spans="1:5" x14ac:dyDescent="0.25">
      <c r="A626" s="5">
        <v>2044</v>
      </c>
      <c r="B626" s="6">
        <v>20</v>
      </c>
      <c r="C626" s="5" t="s">
        <v>593</v>
      </c>
      <c r="D626" s="6"/>
      <c r="E626"/>
    </row>
    <row r="627" spans="1:5" x14ac:dyDescent="0.25">
      <c r="A627" s="5">
        <v>2041</v>
      </c>
      <c r="B627" s="6">
        <v>15</v>
      </c>
      <c r="C627" s="5" t="s">
        <v>594</v>
      </c>
      <c r="D627" s="6"/>
      <c r="E627"/>
    </row>
    <row r="628" spans="1:5" x14ac:dyDescent="0.25">
      <c r="A628" s="5">
        <v>2043</v>
      </c>
      <c r="B628" s="6">
        <v>6</v>
      </c>
      <c r="C628" s="5" t="s">
        <v>554</v>
      </c>
      <c r="D628" s="6"/>
      <c r="E628"/>
    </row>
    <row r="629" spans="1:5" x14ac:dyDescent="0.25">
      <c r="A629" s="5">
        <v>2045</v>
      </c>
      <c r="B629" s="6">
        <f>24*0.4</f>
        <v>9.6000000000000014</v>
      </c>
      <c r="C629" s="5" t="s">
        <v>595</v>
      </c>
      <c r="D629" s="6">
        <v>0.4</v>
      </c>
      <c r="E629"/>
    </row>
    <row r="630" spans="1:5" x14ac:dyDescent="0.25">
      <c r="A630" s="5">
        <v>1976</v>
      </c>
      <c r="B630" s="6">
        <v>12</v>
      </c>
      <c r="C630" s="5" t="s">
        <v>596</v>
      </c>
      <c r="D630" s="6">
        <v>1</v>
      </c>
      <c r="E630"/>
    </row>
    <row r="631" spans="1:5" x14ac:dyDescent="0.25">
      <c r="A631" s="5">
        <v>2046</v>
      </c>
      <c r="B631" s="6">
        <v>4.2</v>
      </c>
      <c r="C631" s="5" t="s">
        <v>597</v>
      </c>
      <c r="D631" s="6">
        <f>4.2/21</f>
        <v>0.2</v>
      </c>
      <c r="E631"/>
    </row>
    <row r="632" spans="1:5" x14ac:dyDescent="0.25">
      <c r="A632" s="5">
        <v>2048</v>
      </c>
      <c r="B632" s="6">
        <v>15</v>
      </c>
      <c r="C632" s="5" t="s">
        <v>598</v>
      </c>
      <c r="D632" s="6">
        <f>15/6</f>
        <v>2.5</v>
      </c>
      <c r="E632"/>
    </row>
    <row r="633" spans="1:5" x14ac:dyDescent="0.25">
      <c r="A633" s="5">
        <v>2051</v>
      </c>
      <c r="B633" s="6">
        <v>14.4</v>
      </c>
      <c r="C633" s="5" t="s">
        <v>599</v>
      </c>
      <c r="D633" s="6">
        <f>14.4/4</f>
        <v>3.6</v>
      </c>
      <c r="E633"/>
    </row>
    <row r="634" spans="1:5" x14ac:dyDescent="0.25">
      <c r="A634" s="5">
        <v>2052</v>
      </c>
      <c r="B634" s="6">
        <v>20</v>
      </c>
      <c r="C634" s="5" t="s">
        <v>600</v>
      </c>
      <c r="D634" s="6">
        <f>20/4</f>
        <v>5</v>
      </c>
      <c r="E634"/>
    </row>
    <row r="635" spans="1:5" x14ac:dyDescent="0.25">
      <c r="A635" s="5">
        <v>2053</v>
      </c>
      <c r="B635" s="6">
        <v>5</v>
      </c>
      <c r="C635" s="5" t="s">
        <v>601</v>
      </c>
      <c r="D635" s="6">
        <f>5/10</f>
        <v>0.5</v>
      </c>
      <c r="E635"/>
    </row>
    <row r="636" spans="1:5" x14ac:dyDescent="0.25">
      <c r="A636" s="5">
        <v>2054</v>
      </c>
      <c r="B636" s="6">
        <v>5</v>
      </c>
      <c r="C636" s="5" t="s">
        <v>602</v>
      </c>
      <c r="D636" s="6">
        <f>5/10</f>
        <v>0.5</v>
      </c>
      <c r="E636"/>
    </row>
    <row r="637" spans="1:5" x14ac:dyDescent="0.25">
      <c r="A637" s="5">
        <v>2055</v>
      </c>
      <c r="B637" s="6">
        <v>20</v>
      </c>
      <c r="C637" s="5" t="s">
        <v>603</v>
      </c>
      <c r="D637" s="6">
        <f>20/4</f>
        <v>5</v>
      </c>
      <c r="E637"/>
    </row>
    <row r="638" spans="1:5" x14ac:dyDescent="0.25">
      <c r="A638" s="5">
        <v>2056</v>
      </c>
      <c r="B638" s="6">
        <v>20</v>
      </c>
      <c r="C638" s="5" t="s">
        <v>604</v>
      </c>
      <c r="D638" s="6">
        <f>20/4</f>
        <v>5</v>
      </c>
      <c r="E638"/>
    </row>
    <row r="639" spans="1:5" x14ac:dyDescent="0.25">
      <c r="A639" s="5">
        <v>2057</v>
      </c>
      <c r="B639" s="6">
        <v>20</v>
      </c>
      <c r="C639" s="5" t="s">
        <v>605</v>
      </c>
      <c r="D639" s="6">
        <f>20/4</f>
        <v>5</v>
      </c>
      <c r="E639"/>
    </row>
    <row r="640" spans="1:5" x14ac:dyDescent="0.25">
      <c r="A640" s="5">
        <v>2058</v>
      </c>
      <c r="B640" s="6">
        <v>20</v>
      </c>
      <c r="C640" s="5" t="s">
        <v>606</v>
      </c>
      <c r="D640" s="6">
        <f>20/4</f>
        <v>5</v>
      </c>
      <c r="E640"/>
    </row>
    <row r="641" spans="1:5" x14ac:dyDescent="0.25">
      <c r="A641" s="5">
        <v>2059</v>
      </c>
      <c r="B641" s="6">
        <v>9</v>
      </c>
      <c r="C641" s="5" t="s">
        <v>607</v>
      </c>
      <c r="D641" s="6">
        <v>1</v>
      </c>
      <c r="E641"/>
    </row>
    <row r="642" spans="1:5" x14ac:dyDescent="0.25">
      <c r="A642" s="5">
        <v>2060</v>
      </c>
      <c r="B642" s="6">
        <v>2.4</v>
      </c>
      <c r="C642" s="5" t="s">
        <v>608</v>
      </c>
      <c r="D642" s="6">
        <f>2.4/16</f>
        <v>0.15</v>
      </c>
      <c r="E642"/>
    </row>
    <row r="643" spans="1:5" x14ac:dyDescent="0.25">
      <c r="A643" s="5">
        <v>2049</v>
      </c>
      <c r="B643" s="6">
        <v>10</v>
      </c>
      <c r="C643" s="5" t="s">
        <v>609</v>
      </c>
      <c r="D643" s="6">
        <f>10/4</f>
        <v>2.5</v>
      </c>
      <c r="E643"/>
    </row>
    <row r="644" spans="1:5" x14ac:dyDescent="0.25">
      <c r="A644" s="5">
        <v>2067</v>
      </c>
      <c r="B644" s="6">
        <v>18</v>
      </c>
      <c r="C644" s="5" t="s">
        <v>610</v>
      </c>
      <c r="D644" s="6"/>
      <c r="E644"/>
    </row>
    <row r="645" spans="1:5" x14ac:dyDescent="0.25">
      <c r="A645" s="5">
        <v>2068</v>
      </c>
      <c r="B645" s="6">
        <v>20</v>
      </c>
      <c r="C645" s="5" t="s">
        <v>611</v>
      </c>
      <c r="D645" s="6"/>
      <c r="E645"/>
    </row>
    <row r="646" spans="1:5" x14ac:dyDescent="0.25">
      <c r="A646" s="5">
        <v>2069</v>
      </c>
      <c r="B646" s="6">
        <v>12</v>
      </c>
      <c r="C646" s="5" t="s">
        <v>612</v>
      </c>
      <c r="D646" s="6">
        <v>3</v>
      </c>
      <c r="E646"/>
    </row>
    <row r="647" spans="1:5" x14ac:dyDescent="0.25">
      <c r="A647" s="5">
        <v>2070</v>
      </c>
      <c r="B647" s="6">
        <v>8</v>
      </c>
      <c r="C647" s="5" t="s">
        <v>613</v>
      </c>
      <c r="D647" s="6">
        <v>0.8</v>
      </c>
      <c r="E647"/>
    </row>
    <row r="648" spans="1:5" x14ac:dyDescent="0.25">
      <c r="A648" s="5">
        <v>2066</v>
      </c>
      <c r="B648" s="6">
        <v>18</v>
      </c>
      <c r="C648" s="5" t="s">
        <v>614</v>
      </c>
      <c r="D648" s="6"/>
      <c r="E648"/>
    </row>
    <row r="649" spans="1:5" x14ac:dyDescent="0.25">
      <c r="A649" s="5">
        <v>2047</v>
      </c>
      <c r="B649" s="6">
        <v>4.2</v>
      </c>
      <c r="C649" s="5" t="s">
        <v>422</v>
      </c>
      <c r="D649" s="6"/>
      <c r="E649"/>
    </row>
    <row r="650" spans="1:5" x14ac:dyDescent="0.25">
      <c r="A650" s="5">
        <v>2090</v>
      </c>
      <c r="B650" s="6">
        <v>8</v>
      </c>
      <c r="C650" s="5" t="s">
        <v>615</v>
      </c>
      <c r="D650" s="6"/>
      <c r="E650"/>
    </row>
    <row r="651" spans="1:5" x14ac:dyDescent="0.25">
      <c r="A651" s="5">
        <v>2081</v>
      </c>
      <c r="B651" s="6">
        <v>10</v>
      </c>
      <c r="C651" s="5" t="s">
        <v>616</v>
      </c>
      <c r="D651" s="6">
        <v>2</v>
      </c>
      <c r="E651"/>
    </row>
    <row r="652" spans="1:5" x14ac:dyDescent="0.25">
      <c r="A652" s="5">
        <v>2080</v>
      </c>
      <c r="B652" s="6">
        <v>10</v>
      </c>
      <c r="C652" s="5" t="s">
        <v>617</v>
      </c>
      <c r="D652" s="6">
        <v>0.4</v>
      </c>
      <c r="E652"/>
    </row>
    <row r="653" spans="1:5" x14ac:dyDescent="0.25">
      <c r="A653" s="5">
        <v>2087</v>
      </c>
      <c r="B653" s="6">
        <v>12</v>
      </c>
      <c r="C653" s="5" t="s">
        <v>618</v>
      </c>
      <c r="D653" s="6">
        <v>1</v>
      </c>
      <c r="E653"/>
    </row>
    <row r="654" spans="1:5" x14ac:dyDescent="0.25">
      <c r="A654" s="5">
        <v>2091</v>
      </c>
      <c r="B654" s="6">
        <v>9.6</v>
      </c>
      <c r="C654" s="5" t="s">
        <v>619</v>
      </c>
      <c r="D654" s="6">
        <v>0.8</v>
      </c>
      <c r="E654"/>
    </row>
    <row r="655" spans="1:5" x14ac:dyDescent="0.25">
      <c r="A655" s="5">
        <v>2092</v>
      </c>
      <c r="B655" s="6">
        <v>9.6</v>
      </c>
      <c r="C655" s="5" t="s">
        <v>620</v>
      </c>
      <c r="D655" s="6">
        <v>0.8</v>
      </c>
      <c r="E655"/>
    </row>
    <row r="656" spans="1:5" x14ac:dyDescent="0.25">
      <c r="A656" s="5">
        <v>2086</v>
      </c>
      <c r="B656" s="6">
        <v>12</v>
      </c>
      <c r="C656" s="5" t="s">
        <v>621</v>
      </c>
      <c r="D656" s="6">
        <v>1</v>
      </c>
      <c r="E656"/>
    </row>
    <row r="657" spans="1:5" x14ac:dyDescent="0.25">
      <c r="A657" s="5">
        <v>2075</v>
      </c>
      <c r="B657" s="6">
        <v>6.4</v>
      </c>
      <c r="C657" s="5" t="s">
        <v>622</v>
      </c>
      <c r="D657" s="6">
        <v>0.4</v>
      </c>
      <c r="E657"/>
    </row>
    <row r="658" spans="1:5" x14ac:dyDescent="0.25">
      <c r="A658" s="5">
        <v>2093</v>
      </c>
      <c r="B658" s="6">
        <v>9.6</v>
      </c>
      <c r="C658" s="5" t="s">
        <v>623</v>
      </c>
      <c r="D658" s="6">
        <v>0.8</v>
      </c>
      <c r="E658"/>
    </row>
    <row r="659" spans="1:5" x14ac:dyDescent="0.25">
      <c r="A659" s="5">
        <v>2084</v>
      </c>
      <c r="B659" s="6">
        <v>7.2</v>
      </c>
      <c r="C659" s="5" t="s">
        <v>624</v>
      </c>
      <c r="D659" s="6">
        <v>0.6</v>
      </c>
      <c r="E659"/>
    </row>
    <row r="660" spans="1:5" x14ac:dyDescent="0.25">
      <c r="A660" s="5">
        <v>2082</v>
      </c>
      <c r="B660" s="6">
        <v>7.2</v>
      </c>
      <c r="C660" s="5" t="s">
        <v>625</v>
      </c>
      <c r="D660" s="6">
        <v>0.6</v>
      </c>
      <c r="E660"/>
    </row>
    <row r="661" spans="1:5" x14ac:dyDescent="0.25">
      <c r="A661" s="5">
        <v>2083</v>
      </c>
      <c r="B661" s="6">
        <v>7.2</v>
      </c>
      <c r="C661" s="5" t="s">
        <v>626</v>
      </c>
      <c r="D661" s="6">
        <v>0.6</v>
      </c>
      <c r="E661"/>
    </row>
    <row r="662" spans="1:5" x14ac:dyDescent="0.25">
      <c r="A662" s="5">
        <v>2096</v>
      </c>
      <c r="B662" s="6">
        <v>7.2</v>
      </c>
      <c r="C662" s="5" t="s">
        <v>627</v>
      </c>
      <c r="D662" s="6">
        <v>0.6</v>
      </c>
      <c r="E662"/>
    </row>
    <row r="663" spans="1:5" x14ac:dyDescent="0.25">
      <c r="A663" s="5">
        <v>2097</v>
      </c>
      <c r="B663" s="6">
        <v>7.2</v>
      </c>
      <c r="C663" s="5" t="s">
        <v>628</v>
      </c>
      <c r="D663" s="6">
        <f>7.2/12</f>
        <v>0.6</v>
      </c>
      <c r="E663"/>
    </row>
    <row r="664" spans="1:5" x14ac:dyDescent="0.25">
      <c r="A664" s="5">
        <v>2089</v>
      </c>
      <c r="B664" s="6">
        <v>12</v>
      </c>
      <c r="C664" s="5" t="s">
        <v>629</v>
      </c>
      <c r="D664" s="6">
        <v>1</v>
      </c>
      <c r="E664"/>
    </row>
    <row r="665" spans="1:5" x14ac:dyDescent="0.25">
      <c r="A665" s="5">
        <v>2079</v>
      </c>
      <c r="B665" s="6">
        <v>3</v>
      </c>
      <c r="C665" s="5" t="s">
        <v>630</v>
      </c>
      <c r="D665" s="6">
        <v>0.3</v>
      </c>
      <c r="E665"/>
    </row>
    <row r="666" spans="1:5" x14ac:dyDescent="0.25">
      <c r="A666" s="5">
        <v>2095</v>
      </c>
      <c r="B666" s="6">
        <v>10</v>
      </c>
      <c r="C666" s="5" t="s">
        <v>631</v>
      </c>
      <c r="D666" s="6">
        <v>1</v>
      </c>
      <c r="E666"/>
    </row>
    <row r="667" spans="1:5" x14ac:dyDescent="0.25">
      <c r="A667" s="5">
        <v>2094</v>
      </c>
      <c r="B667" s="6">
        <v>6</v>
      </c>
      <c r="C667" s="5" t="s">
        <v>632</v>
      </c>
      <c r="D667" s="6">
        <v>0.5</v>
      </c>
      <c r="E667"/>
    </row>
    <row r="668" spans="1:5" x14ac:dyDescent="0.25">
      <c r="A668" s="5">
        <v>2078</v>
      </c>
      <c r="B668" s="6">
        <v>10</v>
      </c>
      <c r="C668" s="5" t="s">
        <v>633</v>
      </c>
      <c r="D668" s="6">
        <v>1</v>
      </c>
      <c r="E668"/>
    </row>
    <row r="669" spans="1:5" x14ac:dyDescent="0.25">
      <c r="A669" s="5">
        <v>2076</v>
      </c>
      <c r="B669" s="6">
        <v>9.375</v>
      </c>
      <c r="C669" s="5" t="s">
        <v>634</v>
      </c>
      <c r="D669" s="6">
        <v>0.375</v>
      </c>
      <c r="E669"/>
    </row>
    <row r="670" spans="1:5" x14ac:dyDescent="0.25">
      <c r="A670" s="5">
        <v>2088</v>
      </c>
      <c r="B670" s="6">
        <v>12</v>
      </c>
      <c r="C670" s="5" t="s">
        <v>635</v>
      </c>
      <c r="D670" s="6">
        <v>1</v>
      </c>
      <c r="E670"/>
    </row>
    <row r="671" spans="1:5" x14ac:dyDescent="0.25">
      <c r="A671" s="5">
        <v>2077</v>
      </c>
      <c r="B671" s="6">
        <v>6</v>
      </c>
      <c r="C671" s="5" t="s">
        <v>636</v>
      </c>
      <c r="D671" s="6"/>
      <c r="E671"/>
    </row>
    <row r="672" spans="1:5" x14ac:dyDescent="0.25">
      <c r="A672" s="5">
        <v>2085</v>
      </c>
      <c r="B672" s="6">
        <v>6</v>
      </c>
      <c r="C672" s="5" t="s">
        <v>637</v>
      </c>
      <c r="D672" s="6">
        <v>0.3</v>
      </c>
      <c r="E672"/>
    </row>
    <row r="673" spans="1:5" x14ac:dyDescent="0.25">
      <c r="A673" s="5">
        <v>2099</v>
      </c>
      <c r="B673" s="6">
        <v>17</v>
      </c>
      <c r="C673" s="5" t="s">
        <v>638</v>
      </c>
      <c r="D673" s="6"/>
      <c r="E673"/>
    </row>
    <row r="674" spans="1:5" x14ac:dyDescent="0.25">
      <c r="A674" s="5">
        <v>2100</v>
      </c>
      <c r="B674" s="6">
        <v>17</v>
      </c>
      <c r="C674" s="5" t="s">
        <v>639</v>
      </c>
      <c r="D674" s="6"/>
      <c r="E674"/>
    </row>
    <row r="675" spans="1:5" x14ac:dyDescent="0.25">
      <c r="A675" s="5">
        <v>2103</v>
      </c>
      <c r="B675" s="6">
        <v>12</v>
      </c>
      <c r="C675" s="5" t="s">
        <v>640</v>
      </c>
      <c r="D675" s="6"/>
      <c r="E675"/>
    </row>
    <row r="676" spans="1:5" x14ac:dyDescent="0.25">
      <c r="A676" s="5">
        <v>2104</v>
      </c>
      <c r="B676" s="6">
        <v>4.8</v>
      </c>
      <c r="C676" s="5" t="s">
        <v>641</v>
      </c>
      <c r="D676" s="6">
        <f>4.8/6</f>
        <v>0.79999999999999993</v>
      </c>
      <c r="E676"/>
    </row>
    <row r="677" spans="1:5" x14ac:dyDescent="0.25">
      <c r="A677" s="5">
        <v>2106</v>
      </c>
      <c r="B677" s="6">
        <v>12</v>
      </c>
      <c r="C677" s="5" t="s">
        <v>642</v>
      </c>
      <c r="D677" s="6">
        <v>1</v>
      </c>
      <c r="E677"/>
    </row>
    <row r="678" spans="1:5" x14ac:dyDescent="0.25">
      <c r="A678" s="5">
        <v>2102</v>
      </c>
      <c r="B678" s="6">
        <v>9</v>
      </c>
      <c r="C678" s="5" t="s">
        <v>643</v>
      </c>
      <c r="D678" s="6">
        <v>1</v>
      </c>
      <c r="E678"/>
    </row>
    <row r="679" spans="1:5" x14ac:dyDescent="0.25">
      <c r="A679" s="5">
        <v>2108</v>
      </c>
      <c r="B679" s="6">
        <v>12</v>
      </c>
      <c r="C679" s="5" t="s">
        <v>644</v>
      </c>
      <c r="D679" s="6">
        <v>1</v>
      </c>
      <c r="E679"/>
    </row>
    <row r="680" spans="1:5" x14ac:dyDescent="0.25">
      <c r="A680" s="5">
        <v>2101</v>
      </c>
      <c r="B680" s="6">
        <v>6.048</v>
      </c>
      <c r="C680" s="5" t="s">
        <v>645</v>
      </c>
      <c r="D680" s="6"/>
      <c r="E680"/>
    </row>
    <row r="681" spans="1:5" x14ac:dyDescent="0.25">
      <c r="A681" s="5">
        <v>2107</v>
      </c>
      <c r="B681" s="6">
        <v>2.4</v>
      </c>
      <c r="C681" s="5" t="s">
        <v>646</v>
      </c>
      <c r="D681" s="6"/>
      <c r="E681"/>
    </row>
    <row r="682" spans="1:5" x14ac:dyDescent="0.25">
      <c r="A682" s="5">
        <v>2111</v>
      </c>
      <c r="B682" s="6">
        <v>10</v>
      </c>
      <c r="C682" s="5" t="s">
        <v>647</v>
      </c>
      <c r="D682" s="6">
        <f>10/4</f>
        <v>2.5</v>
      </c>
      <c r="E682"/>
    </row>
    <row r="683" spans="1:5" x14ac:dyDescent="0.25">
      <c r="A683" s="5">
        <v>2116</v>
      </c>
      <c r="B683" s="6">
        <v>20</v>
      </c>
      <c r="C683" s="5" t="s">
        <v>648</v>
      </c>
      <c r="D683" s="6"/>
      <c r="E683"/>
    </row>
    <row r="684" spans="1:5" x14ac:dyDescent="0.25">
      <c r="A684" s="5">
        <v>2115</v>
      </c>
      <c r="B684" s="6">
        <v>22</v>
      </c>
      <c r="C684" s="5" t="s">
        <v>649</v>
      </c>
      <c r="D684" s="6"/>
      <c r="E684"/>
    </row>
    <row r="685" spans="1:5" x14ac:dyDescent="0.25">
      <c r="A685" s="5">
        <v>2113</v>
      </c>
      <c r="B685" s="6">
        <v>30</v>
      </c>
      <c r="C685" s="5" t="s">
        <v>650</v>
      </c>
      <c r="D685" s="6">
        <v>0.5</v>
      </c>
      <c r="E685"/>
    </row>
    <row r="686" spans="1:5" x14ac:dyDescent="0.25">
      <c r="A686" s="5">
        <v>2117</v>
      </c>
      <c r="B686" s="6">
        <v>20</v>
      </c>
      <c r="C686" s="5" t="s">
        <v>651</v>
      </c>
      <c r="D686" s="6"/>
      <c r="E686"/>
    </row>
    <row r="687" spans="1:5" x14ac:dyDescent="0.25">
      <c r="A687" s="5">
        <v>2110</v>
      </c>
      <c r="B687" s="6">
        <v>6</v>
      </c>
      <c r="C687" s="5" t="s">
        <v>652</v>
      </c>
      <c r="D687" s="6"/>
      <c r="E687"/>
    </row>
    <row r="688" spans="1:5" x14ac:dyDescent="0.25">
      <c r="A688" s="5">
        <v>2121</v>
      </c>
      <c r="B688" s="6">
        <v>10</v>
      </c>
      <c r="C688" s="5" t="s">
        <v>653</v>
      </c>
      <c r="D688" s="6">
        <v>2.5</v>
      </c>
      <c r="E688"/>
    </row>
    <row r="689" spans="1:5" x14ac:dyDescent="0.25">
      <c r="A689" s="5">
        <v>2122</v>
      </c>
      <c r="B689" s="6">
        <v>5</v>
      </c>
      <c r="C689" s="5" t="s">
        <v>654</v>
      </c>
      <c r="D689" s="6">
        <v>0.625</v>
      </c>
      <c r="E689"/>
    </row>
    <row r="690" spans="1:5" x14ac:dyDescent="0.25">
      <c r="A690" s="5">
        <v>2123</v>
      </c>
      <c r="B690" s="6">
        <v>5</v>
      </c>
      <c r="C690" s="5" t="s">
        <v>655</v>
      </c>
      <c r="D690" s="6">
        <v>0.5</v>
      </c>
      <c r="E690"/>
    </row>
    <row r="691" spans="1:5" x14ac:dyDescent="0.25">
      <c r="A691" s="5">
        <v>2124</v>
      </c>
      <c r="B691" s="6">
        <v>20</v>
      </c>
      <c r="C691" s="5" t="s">
        <v>656</v>
      </c>
      <c r="D691" s="6">
        <v>5</v>
      </c>
      <c r="E691"/>
    </row>
    <row r="692" spans="1:5" x14ac:dyDescent="0.25">
      <c r="A692" s="5">
        <v>2125</v>
      </c>
      <c r="B692" s="6">
        <v>9.6</v>
      </c>
      <c r="C692" s="5" t="s">
        <v>657</v>
      </c>
      <c r="D692" s="6">
        <v>0.8</v>
      </c>
      <c r="E692"/>
    </row>
    <row r="693" spans="1:5" x14ac:dyDescent="0.25">
      <c r="A693" s="5">
        <v>2126</v>
      </c>
      <c r="B693" s="6">
        <v>5</v>
      </c>
      <c r="C693" s="5" t="s">
        <v>658</v>
      </c>
      <c r="D693" s="6">
        <v>0.5</v>
      </c>
      <c r="E693"/>
    </row>
    <row r="694" spans="1:5" x14ac:dyDescent="0.25">
      <c r="A694" s="5">
        <v>2137</v>
      </c>
      <c r="B694" s="6">
        <v>8</v>
      </c>
      <c r="C694" s="5" t="s">
        <v>659</v>
      </c>
      <c r="D694" s="6"/>
      <c r="E694"/>
    </row>
    <row r="695" spans="1:5" x14ac:dyDescent="0.25">
      <c r="A695" s="5">
        <v>2139</v>
      </c>
      <c r="B695" s="6">
        <v>10</v>
      </c>
      <c r="C695" s="5" t="s">
        <v>660</v>
      </c>
      <c r="D695" s="6">
        <v>0.4</v>
      </c>
      <c r="E695"/>
    </row>
    <row r="696" spans="1:5" x14ac:dyDescent="0.25">
      <c r="A696" s="5">
        <v>2132</v>
      </c>
      <c r="B696" s="6">
        <v>9.6</v>
      </c>
      <c r="C696" s="5" t="s">
        <v>661</v>
      </c>
      <c r="D696" s="6">
        <v>0.4</v>
      </c>
      <c r="E696"/>
    </row>
    <row r="697" spans="1:5" x14ac:dyDescent="0.25">
      <c r="A697" s="5">
        <v>2138</v>
      </c>
      <c r="B697" s="6">
        <v>12</v>
      </c>
      <c r="C697" s="5" t="s">
        <v>662</v>
      </c>
      <c r="D697" s="6"/>
      <c r="E697"/>
    </row>
    <row r="698" spans="1:5" x14ac:dyDescent="0.25">
      <c r="A698" s="5">
        <v>2134</v>
      </c>
      <c r="B698" s="6">
        <v>9.6</v>
      </c>
      <c r="C698" s="5" t="s">
        <v>663</v>
      </c>
      <c r="D698" s="6">
        <v>0.8</v>
      </c>
      <c r="E698"/>
    </row>
    <row r="699" spans="1:5" x14ac:dyDescent="0.25">
      <c r="A699" s="5">
        <v>2135</v>
      </c>
      <c r="B699" s="6">
        <v>7.2</v>
      </c>
      <c r="C699" s="5" t="s">
        <v>664</v>
      </c>
      <c r="D699" s="6">
        <v>0.6</v>
      </c>
      <c r="E699"/>
    </row>
    <row r="700" spans="1:5" x14ac:dyDescent="0.25">
      <c r="A700" s="5">
        <v>2133</v>
      </c>
      <c r="B700" s="6">
        <v>16</v>
      </c>
      <c r="C700" s="5" t="s">
        <v>665</v>
      </c>
      <c r="D700" s="6">
        <v>2</v>
      </c>
      <c r="E700"/>
    </row>
    <row r="701" spans="1:5" x14ac:dyDescent="0.25">
      <c r="A701" s="5">
        <v>2114</v>
      </c>
      <c r="B701" s="6">
        <v>25</v>
      </c>
      <c r="C701" s="5" t="s">
        <v>551</v>
      </c>
      <c r="D701" s="6">
        <v>1</v>
      </c>
      <c r="E701"/>
    </row>
    <row r="702" spans="1:5" x14ac:dyDescent="0.25">
      <c r="A702" s="5">
        <v>2128</v>
      </c>
      <c r="B702" s="6">
        <v>20</v>
      </c>
      <c r="C702" s="5" t="s">
        <v>666</v>
      </c>
      <c r="D702" s="6"/>
      <c r="E702"/>
    </row>
    <row r="703" spans="1:5" x14ac:dyDescent="0.25">
      <c r="A703" s="5">
        <v>2136</v>
      </c>
      <c r="B703" s="6">
        <v>12</v>
      </c>
      <c r="C703" s="5" t="s">
        <v>667</v>
      </c>
      <c r="D703" s="6">
        <v>1</v>
      </c>
      <c r="E703"/>
    </row>
    <row r="704" spans="1:5" x14ac:dyDescent="0.25">
      <c r="A704" s="5">
        <v>2129</v>
      </c>
      <c r="B704" s="6">
        <v>20</v>
      </c>
      <c r="C704" s="5" t="s">
        <v>668</v>
      </c>
      <c r="D704" s="6"/>
      <c r="E704"/>
    </row>
    <row r="705" spans="1:5" x14ac:dyDescent="0.25">
      <c r="A705" s="5">
        <v>2130</v>
      </c>
      <c r="B705" s="6">
        <v>18</v>
      </c>
      <c r="C705" s="5" t="s">
        <v>669</v>
      </c>
      <c r="D705" s="6"/>
      <c r="E705"/>
    </row>
    <row r="706" spans="1:5" x14ac:dyDescent="0.25">
      <c r="A706" s="5">
        <v>2131</v>
      </c>
      <c r="B706" s="6">
        <v>20</v>
      </c>
      <c r="C706" s="5" t="s">
        <v>670</v>
      </c>
      <c r="D706" s="6"/>
      <c r="E706"/>
    </row>
    <row r="707" spans="1:5" x14ac:dyDescent="0.25">
      <c r="A707" s="5">
        <v>2146</v>
      </c>
      <c r="B707" s="6">
        <v>2.4</v>
      </c>
      <c r="C707" s="5" t="s">
        <v>671</v>
      </c>
      <c r="D707" s="6">
        <v>0.2</v>
      </c>
      <c r="E707"/>
    </row>
    <row r="708" spans="1:5" x14ac:dyDescent="0.25">
      <c r="A708" s="5">
        <v>2164</v>
      </c>
      <c r="B708" s="6">
        <v>6</v>
      </c>
      <c r="C708" s="5" t="s">
        <v>672</v>
      </c>
      <c r="D708" s="6">
        <v>0.4</v>
      </c>
      <c r="E708"/>
    </row>
    <row r="709" spans="1:5" x14ac:dyDescent="0.25">
      <c r="A709" s="5">
        <v>2155</v>
      </c>
      <c r="B709" s="6">
        <v>12</v>
      </c>
      <c r="C709" s="5" t="s">
        <v>673</v>
      </c>
      <c r="D709" s="6">
        <v>1</v>
      </c>
      <c r="E709"/>
    </row>
    <row r="710" spans="1:5" x14ac:dyDescent="0.25">
      <c r="A710" s="5">
        <v>2156</v>
      </c>
      <c r="B710" s="6">
        <v>3.6</v>
      </c>
      <c r="C710" s="5" t="s">
        <v>674</v>
      </c>
      <c r="D710" s="6">
        <v>0.6</v>
      </c>
      <c r="E710"/>
    </row>
    <row r="711" spans="1:5" x14ac:dyDescent="0.25">
      <c r="A711" s="5">
        <v>2153</v>
      </c>
      <c r="B711" s="6">
        <v>20</v>
      </c>
      <c r="C711" s="5" t="s">
        <v>675</v>
      </c>
      <c r="D711" s="6">
        <v>5</v>
      </c>
      <c r="E711"/>
    </row>
    <row r="712" spans="1:5" x14ac:dyDescent="0.25">
      <c r="A712" s="5">
        <v>2147</v>
      </c>
      <c r="B712" s="6">
        <v>3.6</v>
      </c>
      <c r="C712" s="5" t="s">
        <v>676</v>
      </c>
      <c r="D712" s="6">
        <v>0.2</v>
      </c>
      <c r="E712"/>
    </row>
    <row r="713" spans="1:5" x14ac:dyDescent="0.25">
      <c r="A713" s="5">
        <v>2143</v>
      </c>
      <c r="B713" s="6">
        <v>10</v>
      </c>
      <c r="C713" s="5" t="s">
        <v>677</v>
      </c>
      <c r="D713" s="6"/>
      <c r="E713"/>
    </row>
    <row r="714" spans="1:5" x14ac:dyDescent="0.25">
      <c r="A714" s="5">
        <v>2159</v>
      </c>
      <c r="B714" s="6">
        <v>24</v>
      </c>
      <c r="C714" s="5" t="s">
        <v>678</v>
      </c>
      <c r="D714" s="6"/>
      <c r="E714"/>
    </row>
    <row r="715" spans="1:5" x14ac:dyDescent="0.25">
      <c r="A715" s="5">
        <v>2157</v>
      </c>
      <c r="B715" s="6">
        <v>24</v>
      </c>
      <c r="C715" s="5" t="s">
        <v>679</v>
      </c>
      <c r="D715" s="6"/>
      <c r="E715"/>
    </row>
    <row r="716" spans="1:5" x14ac:dyDescent="0.25">
      <c r="A716" s="5">
        <v>2158</v>
      </c>
      <c r="B716" s="6">
        <v>24</v>
      </c>
      <c r="C716" s="5" t="s">
        <v>680</v>
      </c>
      <c r="D716" s="6"/>
      <c r="E716"/>
    </row>
    <row r="717" spans="1:5" x14ac:dyDescent="0.25">
      <c r="A717" s="5">
        <v>2163</v>
      </c>
      <c r="B717" s="6">
        <v>15</v>
      </c>
      <c r="C717" s="5" t="s">
        <v>681</v>
      </c>
      <c r="D717" s="6"/>
      <c r="E717"/>
    </row>
    <row r="718" spans="1:5" x14ac:dyDescent="0.25">
      <c r="A718" s="5">
        <v>2160</v>
      </c>
      <c r="B718" s="6">
        <v>15</v>
      </c>
      <c r="C718" s="5" t="s">
        <v>682</v>
      </c>
      <c r="D718" s="6"/>
      <c r="E718"/>
    </row>
    <row r="719" spans="1:5" x14ac:dyDescent="0.25">
      <c r="A719" s="5">
        <v>2161</v>
      </c>
      <c r="B719" s="6">
        <v>15</v>
      </c>
      <c r="C719" s="5" t="s">
        <v>683</v>
      </c>
      <c r="D719" s="6"/>
      <c r="E719"/>
    </row>
    <row r="720" spans="1:5" x14ac:dyDescent="0.25">
      <c r="A720" s="5">
        <v>2162</v>
      </c>
      <c r="B720" s="6">
        <v>6</v>
      </c>
      <c r="C720" s="5" t="s">
        <v>684</v>
      </c>
      <c r="D720" s="6"/>
      <c r="E720"/>
    </row>
    <row r="721" spans="1:5" x14ac:dyDescent="0.25">
      <c r="A721" s="5">
        <v>2144</v>
      </c>
      <c r="B721" s="6">
        <v>10</v>
      </c>
      <c r="C721" s="5" t="s">
        <v>685</v>
      </c>
      <c r="D721" s="6"/>
      <c r="E721"/>
    </row>
    <row r="722" spans="1:5" x14ac:dyDescent="0.25">
      <c r="A722" s="5">
        <v>1135</v>
      </c>
      <c r="B722" s="6">
        <v>18</v>
      </c>
      <c r="C722" s="5" t="s">
        <v>503</v>
      </c>
      <c r="D722" s="6"/>
      <c r="E722"/>
    </row>
    <row r="723" spans="1:5" x14ac:dyDescent="0.25">
      <c r="A723" s="5">
        <v>2172</v>
      </c>
      <c r="B723" s="6">
        <v>18</v>
      </c>
      <c r="C723" s="5" t="s">
        <v>686</v>
      </c>
      <c r="D723" s="6"/>
      <c r="E723"/>
    </row>
    <row r="724" spans="1:5" x14ac:dyDescent="0.25">
      <c r="A724" s="5">
        <v>2171</v>
      </c>
      <c r="B724" s="6">
        <v>18</v>
      </c>
      <c r="C724" s="5" t="s">
        <v>687</v>
      </c>
      <c r="D724" s="6"/>
      <c r="E724"/>
    </row>
    <row r="725" spans="1:5" x14ac:dyDescent="0.25">
      <c r="A725" s="5">
        <v>2165</v>
      </c>
      <c r="B725" s="6">
        <v>8</v>
      </c>
      <c r="C725" s="5" t="s">
        <v>688</v>
      </c>
      <c r="D725" s="6">
        <f>8/20</f>
        <v>0.4</v>
      </c>
      <c r="E725"/>
    </row>
    <row r="726" spans="1:5" x14ac:dyDescent="0.25">
      <c r="A726" s="5">
        <v>2181</v>
      </c>
      <c r="B726" s="6">
        <v>20</v>
      </c>
      <c r="C726" s="5" t="s">
        <v>689</v>
      </c>
      <c r="D726" s="6">
        <v>1</v>
      </c>
      <c r="E726"/>
    </row>
    <row r="727" spans="1:5" x14ac:dyDescent="0.25">
      <c r="A727" s="5">
        <v>2182</v>
      </c>
      <c r="B727" s="6">
        <v>18</v>
      </c>
      <c r="C727" s="5" t="s">
        <v>690</v>
      </c>
      <c r="D727" s="6">
        <v>1</v>
      </c>
      <c r="E727"/>
    </row>
    <row r="728" spans="1:5" x14ac:dyDescent="0.25">
      <c r="A728" s="5">
        <v>2190</v>
      </c>
      <c r="B728" s="6">
        <v>15</v>
      </c>
      <c r="C728" s="5" t="s">
        <v>691</v>
      </c>
      <c r="D728" s="6"/>
      <c r="E728"/>
    </row>
    <row r="729" spans="1:5" x14ac:dyDescent="0.25">
      <c r="A729" s="5">
        <v>2168</v>
      </c>
      <c r="B729" s="6">
        <v>17</v>
      </c>
      <c r="C729" s="5" t="s">
        <v>692</v>
      </c>
      <c r="D729" s="6"/>
      <c r="E729"/>
    </row>
    <row r="730" spans="1:5" x14ac:dyDescent="0.25">
      <c r="A730" s="5">
        <v>2176</v>
      </c>
      <c r="B730" s="6">
        <v>12</v>
      </c>
      <c r="C730" s="5" t="s">
        <v>693</v>
      </c>
      <c r="D730" s="6"/>
      <c r="E730"/>
    </row>
    <row r="731" spans="1:5" x14ac:dyDescent="0.25">
      <c r="A731" s="5">
        <v>2166</v>
      </c>
      <c r="B731" s="6">
        <v>7.2</v>
      </c>
      <c r="C731" s="5" t="s">
        <v>694</v>
      </c>
      <c r="D731" s="6">
        <v>0.6</v>
      </c>
      <c r="E731"/>
    </row>
    <row r="732" spans="1:5" x14ac:dyDescent="0.25">
      <c r="A732" s="5">
        <v>2179</v>
      </c>
      <c r="B732" s="6">
        <v>6</v>
      </c>
      <c r="C732" s="5" t="s">
        <v>695</v>
      </c>
      <c r="D732" s="6">
        <v>0.6</v>
      </c>
      <c r="E732"/>
    </row>
    <row r="733" spans="1:5" x14ac:dyDescent="0.25">
      <c r="A733" s="5">
        <v>2180</v>
      </c>
      <c r="B733" s="6">
        <v>20</v>
      </c>
      <c r="C733" s="5" t="s">
        <v>696</v>
      </c>
      <c r="D733" s="6">
        <v>1</v>
      </c>
      <c r="E733"/>
    </row>
    <row r="734" spans="1:5" x14ac:dyDescent="0.25">
      <c r="A734" s="5">
        <v>2167</v>
      </c>
      <c r="B734" s="6">
        <v>12</v>
      </c>
      <c r="C734" s="5" t="s">
        <v>697</v>
      </c>
      <c r="D734" s="6">
        <v>1</v>
      </c>
      <c r="E734"/>
    </row>
    <row r="735" spans="1:5" x14ac:dyDescent="0.25">
      <c r="A735" s="5">
        <v>2183</v>
      </c>
      <c r="B735" s="6">
        <v>20</v>
      </c>
      <c r="C735" s="5" t="s">
        <v>698</v>
      </c>
      <c r="D735" s="6">
        <v>5</v>
      </c>
      <c r="E735"/>
    </row>
    <row r="736" spans="1:5" x14ac:dyDescent="0.25">
      <c r="A736" s="5">
        <v>2173</v>
      </c>
      <c r="B736" s="6">
        <v>10.8</v>
      </c>
      <c r="C736" s="5" t="s">
        <v>699</v>
      </c>
      <c r="D736" s="6">
        <v>1.2</v>
      </c>
      <c r="E736"/>
    </row>
    <row r="737" spans="1:5" x14ac:dyDescent="0.25">
      <c r="A737" s="5">
        <v>2154</v>
      </c>
      <c r="B737" s="6">
        <v>10</v>
      </c>
      <c r="C737" s="5" t="s">
        <v>700</v>
      </c>
      <c r="D737" s="6"/>
      <c r="E737"/>
    </row>
    <row r="738" spans="1:5" x14ac:dyDescent="0.25">
      <c r="A738" s="5">
        <v>2195</v>
      </c>
      <c r="B738" s="6">
        <v>20</v>
      </c>
      <c r="C738" s="5" t="s">
        <v>701</v>
      </c>
      <c r="D738" s="6"/>
      <c r="E738"/>
    </row>
    <row r="739" spans="1:5" x14ac:dyDescent="0.25">
      <c r="A739" s="5">
        <v>2194</v>
      </c>
      <c r="B739" s="6">
        <v>10</v>
      </c>
      <c r="C739" s="5" t="s">
        <v>702</v>
      </c>
      <c r="D739" s="6"/>
      <c r="E739"/>
    </row>
    <row r="740" spans="1:5" x14ac:dyDescent="0.25">
      <c r="A740" s="5">
        <v>2193</v>
      </c>
      <c r="B740" s="6">
        <v>20</v>
      </c>
      <c r="C740" s="5" t="s">
        <v>703</v>
      </c>
      <c r="D740" s="6">
        <v>5</v>
      </c>
      <c r="E740"/>
    </row>
    <row r="741" spans="1:5" x14ac:dyDescent="0.25">
      <c r="A741" s="5">
        <v>2196</v>
      </c>
      <c r="B741" s="6">
        <v>20</v>
      </c>
      <c r="C741" s="5" t="s">
        <v>704</v>
      </c>
      <c r="D741" s="6"/>
      <c r="E741"/>
    </row>
    <row r="742" spans="1:5" x14ac:dyDescent="0.25">
      <c r="A742" s="5">
        <v>2198</v>
      </c>
      <c r="B742" s="6">
        <v>24</v>
      </c>
      <c r="C742" s="5" t="s">
        <v>705</v>
      </c>
      <c r="D742" s="6"/>
      <c r="E742"/>
    </row>
    <row r="743" spans="1:5" x14ac:dyDescent="0.25">
      <c r="A743" s="5">
        <v>2199</v>
      </c>
      <c r="B743" s="6">
        <v>24</v>
      </c>
      <c r="C743" s="5" t="s">
        <v>706</v>
      </c>
      <c r="D743" s="6"/>
      <c r="E743"/>
    </row>
    <row r="744" spans="1:5" x14ac:dyDescent="0.25">
      <c r="A744" s="5">
        <v>2197</v>
      </c>
      <c r="B744" s="6">
        <v>6</v>
      </c>
      <c r="C744" s="5" t="s">
        <v>707</v>
      </c>
      <c r="D744" s="6"/>
      <c r="E744"/>
    </row>
    <row r="745" spans="1:5" x14ac:dyDescent="0.25">
      <c r="A745" s="5">
        <v>2202</v>
      </c>
      <c r="B745" s="6">
        <v>8</v>
      </c>
      <c r="C745" s="5" t="s">
        <v>708</v>
      </c>
      <c r="D745" s="6">
        <v>0.8</v>
      </c>
      <c r="E745"/>
    </row>
    <row r="746" spans="1:5" x14ac:dyDescent="0.25">
      <c r="A746" s="5">
        <v>2192</v>
      </c>
      <c r="B746" s="6">
        <v>22</v>
      </c>
      <c r="C746" s="5" t="s">
        <v>709</v>
      </c>
      <c r="D746" s="6"/>
      <c r="E746"/>
    </row>
    <row r="747" spans="1:5" x14ac:dyDescent="0.25">
      <c r="A747" s="5">
        <v>2216</v>
      </c>
      <c r="B747" s="6">
        <v>20</v>
      </c>
      <c r="C747" s="5" t="s">
        <v>710</v>
      </c>
      <c r="D747" s="6"/>
      <c r="E747"/>
    </row>
    <row r="748" spans="1:5" x14ac:dyDescent="0.25">
      <c r="A748" s="5">
        <v>2217</v>
      </c>
      <c r="B748" s="6">
        <v>20</v>
      </c>
      <c r="C748" s="5" t="s">
        <v>711</v>
      </c>
      <c r="D748" s="6"/>
      <c r="E748"/>
    </row>
    <row r="749" spans="1:5" x14ac:dyDescent="0.25">
      <c r="A749" s="5">
        <v>2212</v>
      </c>
      <c r="B749" s="6">
        <v>6</v>
      </c>
      <c r="C749" s="5" t="s">
        <v>712</v>
      </c>
      <c r="D749" s="6"/>
      <c r="E749"/>
    </row>
    <row r="750" spans="1:5" x14ac:dyDescent="0.25">
      <c r="A750" s="5">
        <v>2218</v>
      </c>
      <c r="B750" s="6">
        <v>15</v>
      </c>
      <c r="C750" s="5" t="s">
        <v>713</v>
      </c>
      <c r="D750" s="6">
        <v>2.5</v>
      </c>
      <c r="E750"/>
    </row>
    <row r="751" spans="1:5" x14ac:dyDescent="0.25">
      <c r="A751" s="5">
        <v>2211</v>
      </c>
      <c r="B751" s="6">
        <v>10</v>
      </c>
      <c r="C751" s="5" t="s">
        <v>714</v>
      </c>
      <c r="D751" s="6">
        <v>5</v>
      </c>
      <c r="E751"/>
    </row>
    <row r="752" spans="1:5" x14ac:dyDescent="0.25">
      <c r="A752" s="5">
        <v>2219</v>
      </c>
      <c r="B752" s="6">
        <v>4.8</v>
      </c>
      <c r="C752" s="5" t="s">
        <v>715</v>
      </c>
      <c r="D752" s="6">
        <v>0.4</v>
      </c>
      <c r="E752"/>
    </row>
    <row r="753" spans="1:5" x14ac:dyDescent="0.25">
      <c r="A753" s="5">
        <v>2215</v>
      </c>
      <c r="B753" s="6">
        <v>20</v>
      </c>
      <c r="C753" s="5" t="s">
        <v>716</v>
      </c>
      <c r="D753" s="6"/>
      <c r="E753"/>
    </row>
    <row r="754" spans="1:5" x14ac:dyDescent="0.25">
      <c r="A754" s="5">
        <v>2214</v>
      </c>
      <c r="B754" s="6">
        <v>20</v>
      </c>
      <c r="C754" s="5" t="s">
        <v>717</v>
      </c>
      <c r="D754" s="6"/>
      <c r="E754"/>
    </row>
    <row r="755" spans="1:5" x14ac:dyDescent="0.25">
      <c r="A755" s="5">
        <v>2201</v>
      </c>
      <c r="B755" s="6">
        <v>5.6</v>
      </c>
      <c r="C755" s="5" t="s">
        <v>718</v>
      </c>
      <c r="D755" s="6">
        <v>0.4</v>
      </c>
      <c r="E755"/>
    </row>
    <row r="756" spans="1:5" x14ac:dyDescent="0.25">
      <c r="A756" s="5">
        <v>2225</v>
      </c>
      <c r="B756" s="6">
        <v>18</v>
      </c>
      <c r="C756" s="5" t="s">
        <v>719</v>
      </c>
      <c r="D756" s="6"/>
      <c r="E756"/>
    </row>
    <row r="757" spans="1:5" x14ac:dyDescent="0.25">
      <c r="A757" s="5">
        <v>2213</v>
      </c>
      <c r="B757" s="6">
        <v>18</v>
      </c>
      <c r="C757" s="5" t="s">
        <v>720</v>
      </c>
      <c r="D757" s="6"/>
      <c r="E757"/>
    </row>
    <row r="758" spans="1:5" x14ac:dyDescent="0.25">
      <c r="A758" s="5">
        <v>2229</v>
      </c>
      <c r="B758" s="6">
        <v>5.22</v>
      </c>
      <c r="C758" s="5" t="s">
        <v>721</v>
      </c>
      <c r="D758" s="6"/>
      <c r="E758"/>
    </row>
    <row r="759" spans="1:5" x14ac:dyDescent="0.25">
      <c r="A759" s="5">
        <v>2222</v>
      </c>
      <c r="B759" s="6">
        <v>18</v>
      </c>
      <c r="C759" s="5" t="s">
        <v>295</v>
      </c>
      <c r="D759" s="6">
        <v>0.6</v>
      </c>
      <c r="E759"/>
    </row>
    <row r="760" spans="1:5" x14ac:dyDescent="0.25">
      <c r="A760" s="5">
        <v>2226</v>
      </c>
      <c r="B760" s="6">
        <v>24</v>
      </c>
      <c r="C760" s="5" t="s">
        <v>722</v>
      </c>
      <c r="D760" s="6">
        <v>6</v>
      </c>
      <c r="E760"/>
    </row>
    <row r="761" spans="1:5" x14ac:dyDescent="0.25">
      <c r="A761" s="5">
        <v>2238</v>
      </c>
      <c r="B761" s="6">
        <v>18</v>
      </c>
      <c r="C761" s="5" t="s">
        <v>723</v>
      </c>
      <c r="D761" s="6"/>
      <c r="E761"/>
    </row>
    <row r="762" spans="1:5" x14ac:dyDescent="0.25">
      <c r="A762" s="5">
        <v>2232</v>
      </c>
      <c r="B762" s="6">
        <v>20</v>
      </c>
      <c r="C762" s="5" t="s">
        <v>724</v>
      </c>
      <c r="D762" s="6"/>
      <c r="E762"/>
    </row>
    <row r="763" spans="1:5" x14ac:dyDescent="0.25">
      <c r="A763" s="5">
        <v>2236</v>
      </c>
      <c r="B763" s="6">
        <v>12</v>
      </c>
      <c r="C763" s="5" t="s">
        <v>725</v>
      </c>
      <c r="D763" s="6">
        <v>0.4</v>
      </c>
      <c r="E763"/>
    </row>
    <row r="764" spans="1:5" x14ac:dyDescent="0.25">
      <c r="A764" s="5">
        <v>2237</v>
      </c>
      <c r="B764" s="6">
        <v>10</v>
      </c>
      <c r="C764" s="5" t="s">
        <v>726</v>
      </c>
      <c r="D764" s="6">
        <v>1</v>
      </c>
      <c r="E764"/>
    </row>
    <row r="765" spans="1:5" x14ac:dyDescent="0.25">
      <c r="A765" s="5">
        <v>2234</v>
      </c>
      <c r="B765" s="6">
        <v>12</v>
      </c>
      <c r="C765" s="5" t="s">
        <v>727</v>
      </c>
      <c r="D765" s="6">
        <v>3</v>
      </c>
      <c r="E765"/>
    </row>
    <row r="766" spans="1:5" x14ac:dyDescent="0.25">
      <c r="A766" s="5">
        <v>2239</v>
      </c>
      <c r="B766" s="6">
        <v>18</v>
      </c>
      <c r="C766" s="5" t="s">
        <v>728</v>
      </c>
      <c r="D766" s="6">
        <v>3</v>
      </c>
      <c r="E766"/>
    </row>
    <row r="767" spans="1:5" x14ac:dyDescent="0.25">
      <c r="A767" s="5">
        <v>2233</v>
      </c>
      <c r="B767" s="6">
        <v>20</v>
      </c>
      <c r="C767" s="5" t="s">
        <v>729</v>
      </c>
      <c r="D767" s="6"/>
      <c r="E767"/>
    </row>
    <row r="768" spans="1:5" x14ac:dyDescent="0.25">
      <c r="A768" s="5">
        <v>2240</v>
      </c>
      <c r="B768" s="6">
        <v>24</v>
      </c>
      <c r="C768" s="5" t="s">
        <v>730</v>
      </c>
      <c r="D768" s="6">
        <v>6</v>
      </c>
      <c r="E768"/>
    </row>
    <row r="769" spans="1:5" x14ac:dyDescent="0.25">
      <c r="A769" s="5">
        <v>2241</v>
      </c>
      <c r="B769" s="6">
        <v>12</v>
      </c>
      <c r="C769" s="5" t="s">
        <v>731</v>
      </c>
      <c r="D769" s="6">
        <v>1</v>
      </c>
      <c r="E769"/>
    </row>
    <row r="770" spans="1:5" x14ac:dyDescent="0.25">
      <c r="A770" s="5">
        <v>2862</v>
      </c>
      <c r="B770" s="6">
        <v>12</v>
      </c>
      <c r="C770" s="5" t="s">
        <v>732</v>
      </c>
      <c r="D770" s="6"/>
      <c r="E770"/>
    </row>
    <row r="771" spans="1:5" x14ac:dyDescent="0.25">
      <c r="A771" s="5">
        <v>2242</v>
      </c>
      <c r="B771" s="6">
        <v>12</v>
      </c>
      <c r="C771" s="5" t="s">
        <v>733</v>
      </c>
      <c r="D771" s="6">
        <v>1</v>
      </c>
      <c r="E771"/>
    </row>
    <row r="772" spans="1:5" x14ac:dyDescent="0.25">
      <c r="A772" s="5">
        <v>2231</v>
      </c>
      <c r="B772" s="6">
        <v>12</v>
      </c>
      <c r="C772" s="5" t="s">
        <v>734</v>
      </c>
      <c r="D772" s="6"/>
      <c r="E772"/>
    </row>
    <row r="773" spans="1:5" x14ac:dyDescent="0.25">
      <c r="A773" s="5">
        <v>2243</v>
      </c>
      <c r="B773" s="6">
        <v>12</v>
      </c>
      <c r="C773" s="5" t="s">
        <v>735</v>
      </c>
      <c r="D773" s="6">
        <v>1</v>
      </c>
      <c r="E773"/>
    </row>
    <row r="774" spans="1:5" x14ac:dyDescent="0.25">
      <c r="A774" s="5">
        <v>2247</v>
      </c>
      <c r="B774" s="6">
        <v>1</v>
      </c>
      <c r="C774" s="5" t="s">
        <v>736</v>
      </c>
      <c r="D774" s="6"/>
      <c r="E774"/>
    </row>
    <row r="775" spans="1:5" x14ac:dyDescent="0.25">
      <c r="A775" s="5">
        <v>2250</v>
      </c>
      <c r="B775" s="6">
        <v>1</v>
      </c>
      <c r="C775" s="5" t="s">
        <v>737</v>
      </c>
      <c r="D775" s="6"/>
      <c r="E775"/>
    </row>
    <row r="776" spans="1:5" x14ac:dyDescent="0.25">
      <c r="A776" s="5">
        <v>2248</v>
      </c>
      <c r="B776" s="6">
        <v>1</v>
      </c>
      <c r="C776" s="5" t="s">
        <v>738</v>
      </c>
      <c r="D776" s="6"/>
      <c r="E776"/>
    </row>
    <row r="777" spans="1:5" x14ac:dyDescent="0.25">
      <c r="A777" s="5">
        <v>2251</v>
      </c>
      <c r="B777" s="6">
        <v>1</v>
      </c>
      <c r="C777" s="5" t="s">
        <v>739</v>
      </c>
      <c r="D777" s="6"/>
      <c r="E777"/>
    </row>
    <row r="778" spans="1:5" x14ac:dyDescent="0.25">
      <c r="A778" s="5">
        <v>2249</v>
      </c>
      <c r="B778" s="6">
        <v>1</v>
      </c>
      <c r="C778" s="5" t="s">
        <v>740</v>
      </c>
      <c r="D778" s="6"/>
      <c r="E778"/>
    </row>
    <row r="779" spans="1:5" x14ac:dyDescent="0.25">
      <c r="A779" s="5">
        <v>2174</v>
      </c>
      <c r="B779" s="6">
        <v>11.2</v>
      </c>
      <c r="C779" s="5" t="s">
        <v>741</v>
      </c>
      <c r="D779" s="6">
        <f>11.2/4</f>
        <v>2.8</v>
      </c>
      <c r="E779"/>
    </row>
    <row r="780" spans="1:5" x14ac:dyDescent="0.25">
      <c r="A780" s="5">
        <v>2256</v>
      </c>
      <c r="B780" s="6">
        <v>12</v>
      </c>
      <c r="C780" s="5" t="s">
        <v>742</v>
      </c>
      <c r="D780" s="6"/>
      <c r="E780"/>
    </row>
    <row r="781" spans="1:5" x14ac:dyDescent="0.25">
      <c r="A781" s="5">
        <v>2255</v>
      </c>
      <c r="B781" s="6">
        <v>12</v>
      </c>
      <c r="C781" s="5" t="s">
        <v>743</v>
      </c>
      <c r="D781" s="6"/>
      <c r="E781"/>
    </row>
    <row r="782" spans="1:5" x14ac:dyDescent="0.25">
      <c r="A782" s="5">
        <v>1009</v>
      </c>
      <c r="B782" s="6">
        <v>20</v>
      </c>
      <c r="C782" s="5" t="s">
        <v>744</v>
      </c>
      <c r="D782" s="6">
        <v>5</v>
      </c>
      <c r="E782"/>
    </row>
    <row r="783" spans="1:5" x14ac:dyDescent="0.25">
      <c r="A783" s="5">
        <v>2258</v>
      </c>
      <c r="B783" s="6">
        <v>15</v>
      </c>
      <c r="C783" s="5" t="s">
        <v>745</v>
      </c>
      <c r="D783" s="6">
        <v>2.5</v>
      </c>
      <c r="E783"/>
    </row>
    <row r="784" spans="1:5" x14ac:dyDescent="0.25">
      <c r="A784" s="5">
        <v>2265</v>
      </c>
      <c r="B784" s="6">
        <v>1</v>
      </c>
      <c r="C784" s="5" t="s">
        <v>746</v>
      </c>
      <c r="D784" s="6"/>
      <c r="E784"/>
    </row>
    <row r="785" spans="1:5" x14ac:dyDescent="0.25">
      <c r="A785" s="5">
        <v>2264</v>
      </c>
      <c r="B785" s="6">
        <v>1</v>
      </c>
      <c r="C785" s="5" t="s">
        <v>747</v>
      </c>
      <c r="D785" s="6"/>
      <c r="E785"/>
    </row>
    <row r="786" spans="1:5" x14ac:dyDescent="0.25">
      <c r="A786" s="5">
        <v>2254</v>
      </c>
      <c r="B786" s="6">
        <v>1</v>
      </c>
      <c r="C786" s="5" t="s">
        <v>748</v>
      </c>
      <c r="D786" s="6"/>
      <c r="E786"/>
    </row>
    <row r="787" spans="1:5" x14ac:dyDescent="0.25">
      <c r="A787" s="5">
        <v>2244</v>
      </c>
      <c r="B787" s="6">
        <v>6.4</v>
      </c>
      <c r="C787" s="5" t="s">
        <v>749</v>
      </c>
      <c r="D787" s="6">
        <f>6.4/2</f>
        <v>3.2</v>
      </c>
      <c r="E787"/>
    </row>
    <row r="788" spans="1:5" x14ac:dyDescent="0.25">
      <c r="A788" s="5">
        <v>2263</v>
      </c>
      <c r="B788" s="6">
        <v>1</v>
      </c>
      <c r="C788" s="5" t="s">
        <v>750</v>
      </c>
      <c r="D788" s="6"/>
      <c r="E788"/>
    </row>
    <row r="789" spans="1:5" x14ac:dyDescent="0.25">
      <c r="A789" s="5">
        <v>2262</v>
      </c>
      <c r="B789" s="6">
        <v>1</v>
      </c>
      <c r="C789" s="5" t="s">
        <v>751</v>
      </c>
      <c r="D789" s="6"/>
      <c r="E789"/>
    </row>
    <row r="790" spans="1:5" x14ac:dyDescent="0.25">
      <c r="A790" s="5">
        <v>2261</v>
      </c>
      <c r="B790" s="6">
        <v>1</v>
      </c>
      <c r="C790" s="5" t="s">
        <v>752</v>
      </c>
      <c r="D790" s="6"/>
      <c r="E790"/>
    </row>
    <row r="791" spans="1:5" x14ac:dyDescent="0.25">
      <c r="A791" s="5">
        <v>2257</v>
      </c>
      <c r="B791" s="6">
        <v>18</v>
      </c>
      <c r="C791" s="5" t="s">
        <v>753</v>
      </c>
      <c r="D791" s="6">
        <v>3</v>
      </c>
      <c r="E791"/>
    </row>
    <row r="792" spans="1:5" x14ac:dyDescent="0.25">
      <c r="A792" s="5">
        <v>2270</v>
      </c>
      <c r="B792" s="6">
        <v>20</v>
      </c>
      <c r="C792" s="5" t="s">
        <v>754</v>
      </c>
      <c r="D792" s="6">
        <v>5</v>
      </c>
      <c r="E792"/>
    </row>
    <row r="793" spans="1:5" x14ac:dyDescent="0.25">
      <c r="A793" s="5">
        <v>2112</v>
      </c>
      <c r="B793" s="6">
        <v>9</v>
      </c>
      <c r="C793" s="5" t="s">
        <v>755</v>
      </c>
      <c r="D793" s="6">
        <v>1</v>
      </c>
      <c r="E793"/>
    </row>
    <row r="794" spans="1:5" x14ac:dyDescent="0.25">
      <c r="A794" s="5">
        <v>2271</v>
      </c>
      <c r="B794" s="6">
        <v>10</v>
      </c>
      <c r="C794" s="5" t="s">
        <v>756</v>
      </c>
      <c r="D794" s="6">
        <v>1</v>
      </c>
      <c r="E794"/>
    </row>
    <row r="795" spans="1:5" x14ac:dyDescent="0.25">
      <c r="A795" s="5">
        <v>2266</v>
      </c>
      <c r="B795" s="6">
        <v>1</v>
      </c>
      <c r="C795" s="5" t="s">
        <v>757</v>
      </c>
      <c r="D795" s="6"/>
      <c r="E795"/>
    </row>
    <row r="796" spans="1:5" x14ac:dyDescent="0.25">
      <c r="A796" s="5">
        <v>2272</v>
      </c>
      <c r="B796" s="6">
        <v>20</v>
      </c>
      <c r="C796" s="5" t="s">
        <v>758</v>
      </c>
      <c r="D796" s="6"/>
      <c r="E796"/>
    </row>
    <row r="797" spans="1:5" x14ac:dyDescent="0.25">
      <c r="A797" s="5">
        <v>2274</v>
      </c>
      <c r="B797" s="6">
        <v>10</v>
      </c>
      <c r="C797" s="5" t="s">
        <v>759</v>
      </c>
      <c r="D797" s="6">
        <v>5</v>
      </c>
      <c r="E797"/>
    </row>
    <row r="798" spans="1:5" x14ac:dyDescent="0.25">
      <c r="A798" s="5">
        <v>2279</v>
      </c>
      <c r="B798" s="6">
        <v>27</v>
      </c>
      <c r="C798" s="5" t="s">
        <v>760</v>
      </c>
      <c r="D798" s="6"/>
      <c r="E798"/>
    </row>
    <row r="799" spans="1:5" x14ac:dyDescent="0.25">
      <c r="A799" s="5">
        <v>2280</v>
      </c>
      <c r="B799" s="6">
        <v>27</v>
      </c>
      <c r="C799" s="5" t="s">
        <v>761</v>
      </c>
      <c r="D799" s="6"/>
      <c r="E799"/>
    </row>
    <row r="800" spans="1:5" x14ac:dyDescent="0.25">
      <c r="A800" s="5">
        <v>2281</v>
      </c>
      <c r="B800" s="6">
        <v>27</v>
      </c>
      <c r="C800" s="5" t="s">
        <v>762</v>
      </c>
      <c r="D800" s="6"/>
      <c r="E800"/>
    </row>
    <row r="801" spans="1:5" x14ac:dyDescent="0.25">
      <c r="A801" s="5">
        <v>2278</v>
      </c>
      <c r="B801" s="6">
        <v>27</v>
      </c>
      <c r="C801" s="5" t="s">
        <v>763</v>
      </c>
      <c r="D801" s="6"/>
      <c r="E801"/>
    </row>
    <row r="802" spans="1:5" x14ac:dyDescent="0.25">
      <c r="A802" s="5">
        <v>2269</v>
      </c>
      <c r="B802" s="6">
        <v>19</v>
      </c>
      <c r="C802" s="5" t="s">
        <v>764</v>
      </c>
      <c r="D802" s="6"/>
      <c r="E802"/>
    </row>
    <row r="803" spans="1:5" x14ac:dyDescent="0.25">
      <c r="A803" s="5">
        <v>2275</v>
      </c>
      <c r="B803" s="6">
        <v>22</v>
      </c>
      <c r="C803" s="5" t="s">
        <v>765</v>
      </c>
      <c r="D803" s="6"/>
      <c r="E803"/>
    </row>
    <row r="804" spans="1:5" x14ac:dyDescent="0.25">
      <c r="A804" s="5">
        <v>1490</v>
      </c>
      <c r="B804" s="6">
        <v>12</v>
      </c>
      <c r="C804" s="5" t="s">
        <v>766</v>
      </c>
      <c r="D804" s="6">
        <f>12/4</f>
        <v>3</v>
      </c>
      <c r="E804"/>
    </row>
    <row r="805" spans="1:5" x14ac:dyDescent="0.25">
      <c r="A805" s="5">
        <v>2282</v>
      </c>
      <c r="B805" s="6">
        <v>10</v>
      </c>
      <c r="C805" s="5" t="s">
        <v>767</v>
      </c>
      <c r="D805" s="6">
        <v>1</v>
      </c>
      <c r="E805"/>
    </row>
    <row r="806" spans="1:5" x14ac:dyDescent="0.25">
      <c r="A806" s="5">
        <v>2284</v>
      </c>
      <c r="B806" s="6">
        <v>2.4</v>
      </c>
      <c r="C806" s="5" t="s">
        <v>768</v>
      </c>
      <c r="D806" s="6"/>
      <c r="E806"/>
    </row>
    <row r="807" spans="1:5" x14ac:dyDescent="0.25">
      <c r="A807" s="5">
        <v>2285</v>
      </c>
      <c r="B807" s="6">
        <v>2.4</v>
      </c>
      <c r="C807" s="5" t="s">
        <v>769</v>
      </c>
      <c r="D807" s="6"/>
      <c r="E807"/>
    </row>
    <row r="808" spans="1:5" x14ac:dyDescent="0.25">
      <c r="A808" s="5">
        <v>2288</v>
      </c>
      <c r="B808" s="6">
        <v>12</v>
      </c>
      <c r="C808" s="5" t="s">
        <v>770</v>
      </c>
      <c r="D808" s="6">
        <v>1</v>
      </c>
      <c r="E808"/>
    </row>
    <row r="809" spans="1:5" x14ac:dyDescent="0.25">
      <c r="A809" s="5">
        <v>1223</v>
      </c>
      <c r="B809" s="6">
        <v>20</v>
      </c>
      <c r="C809" s="5" t="s">
        <v>170</v>
      </c>
      <c r="D809" s="6"/>
      <c r="E809"/>
    </row>
    <row r="810" spans="1:5" x14ac:dyDescent="0.25">
      <c r="A810" s="5">
        <v>2286</v>
      </c>
      <c r="B810" s="6">
        <v>5.52</v>
      </c>
      <c r="C810" s="5" t="s">
        <v>771</v>
      </c>
      <c r="D810" s="6"/>
      <c r="E810"/>
    </row>
    <row r="811" spans="1:5" x14ac:dyDescent="0.25">
      <c r="A811" s="5">
        <v>1206</v>
      </c>
      <c r="B811" s="6">
        <v>5.52</v>
      </c>
      <c r="C811" s="5" t="s">
        <v>772</v>
      </c>
      <c r="D811" s="6"/>
      <c r="E811"/>
    </row>
    <row r="812" spans="1:5" x14ac:dyDescent="0.25">
      <c r="A812" s="5">
        <v>2287</v>
      </c>
      <c r="B812" s="6">
        <v>18</v>
      </c>
      <c r="C812" s="5" t="s">
        <v>773</v>
      </c>
      <c r="D812" s="6">
        <v>3</v>
      </c>
      <c r="E812"/>
    </row>
    <row r="813" spans="1:5" x14ac:dyDescent="0.25">
      <c r="A813" s="5">
        <v>2294</v>
      </c>
      <c r="B813" s="6">
        <v>20</v>
      </c>
      <c r="C813" s="5" t="s">
        <v>303</v>
      </c>
      <c r="D813" s="6">
        <v>1</v>
      </c>
      <c r="E813"/>
    </row>
    <row r="814" spans="1:5" x14ac:dyDescent="0.25">
      <c r="A814" s="5">
        <v>2289</v>
      </c>
      <c r="B814" s="6">
        <v>27</v>
      </c>
      <c r="C814" s="5" t="s">
        <v>774</v>
      </c>
      <c r="D814" s="6"/>
      <c r="E814"/>
    </row>
    <row r="815" spans="1:5" x14ac:dyDescent="0.25">
      <c r="A815" s="5">
        <v>2295</v>
      </c>
      <c r="B815" s="6">
        <v>9.6</v>
      </c>
      <c r="C815" s="5" t="s">
        <v>775</v>
      </c>
      <c r="D815" s="6">
        <v>0.8</v>
      </c>
      <c r="E815"/>
    </row>
    <row r="816" spans="1:5" x14ac:dyDescent="0.25">
      <c r="A816" s="5">
        <v>2293</v>
      </c>
      <c r="B816" s="6">
        <v>14</v>
      </c>
      <c r="C816" s="5" t="s">
        <v>776</v>
      </c>
      <c r="D816" s="6">
        <v>2</v>
      </c>
      <c r="E816"/>
    </row>
    <row r="817" spans="1:5" x14ac:dyDescent="0.25">
      <c r="A817" s="5">
        <v>2292</v>
      </c>
      <c r="B817" s="6">
        <v>20</v>
      </c>
      <c r="C817" s="5" t="s">
        <v>777</v>
      </c>
      <c r="D817" s="6"/>
      <c r="E817"/>
    </row>
    <row r="818" spans="1:5" x14ac:dyDescent="0.25">
      <c r="A818" s="5">
        <v>2191</v>
      </c>
      <c r="B818" s="6">
        <v>4.2</v>
      </c>
      <c r="C818" s="5" t="s">
        <v>778</v>
      </c>
      <c r="D818" s="6"/>
      <c r="E818"/>
    </row>
    <row r="819" spans="1:5" x14ac:dyDescent="0.25">
      <c r="A819" s="5">
        <v>2307</v>
      </c>
      <c r="B819" s="6">
        <v>6</v>
      </c>
      <c r="C819" s="5" t="s">
        <v>779</v>
      </c>
      <c r="D819" s="6"/>
      <c r="E819"/>
    </row>
    <row r="820" spans="1:5" x14ac:dyDescent="0.25">
      <c r="A820" s="5">
        <v>2299</v>
      </c>
      <c r="B820" s="6">
        <v>22</v>
      </c>
      <c r="C820" s="5" t="s">
        <v>780</v>
      </c>
      <c r="D820" s="6">
        <v>1</v>
      </c>
      <c r="E820"/>
    </row>
    <row r="821" spans="1:5" x14ac:dyDescent="0.25">
      <c r="A821" s="5">
        <v>2297</v>
      </c>
      <c r="B821" s="6">
        <v>25.2</v>
      </c>
      <c r="C821" s="5" t="s">
        <v>781</v>
      </c>
      <c r="D821" s="6">
        <v>4.2</v>
      </c>
      <c r="E821"/>
    </row>
    <row r="822" spans="1:5" x14ac:dyDescent="0.25">
      <c r="A822" s="5">
        <v>2298</v>
      </c>
      <c r="B822" s="6">
        <v>2.7</v>
      </c>
      <c r="C822" s="5" t="s">
        <v>782</v>
      </c>
      <c r="D822" s="6">
        <v>0.18</v>
      </c>
      <c r="E822"/>
    </row>
    <row r="823" spans="1:5" x14ac:dyDescent="0.25">
      <c r="A823" s="5">
        <v>2291</v>
      </c>
      <c r="B823" s="6">
        <v>20</v>
      </c>
      <c r="C823" s="5" t="s">
        <v>783</v>
      </c>
      <c r="D823" s="6"/>
      <c r="E823"/>
    </row>
    <row r="824" spans="1:5" x14ac:dyDescent="0.25">
      <c r="A824" s="5">
        <v>2313</v>
      </c>
      <c r="B824" s="6">
        <v>12</v>
      </c>
      <c r="C824" s="5" t="s">
        <v>784</v>
      </c>
      <c r="D824" s="6">
        <v>2</v>
      </c>
      <c r="E824"/>
    </row>
    <row r="825" spans="1:5" x14ac:dyDescent="0.25">
      <c r="A825" s="5">
        <v>2308</v>
      </c>
      <c r="B825" s="6">
        <v>18</v>
      </c>
      <c r="C825" s="5" t="s">
        <v>785</v>
      </c>
      <c r="D825" s="6"/>
      <c r="E825"/>
    </row>
    <row r="826" spans="1:5" x14ac:dyDescent="0.25">
      <c r="A826" s="5">
        <v>2290</v>
      </c>
      <c r="B826" s="6">
        <v>6</v>
      </c>
      <c r="C826" s="5" t="s">
        <v>786</v>
      </c>
      <c r="D826" s="6"/>
      <c r="E826"/>
    </row>
    <row r="827" spans="1:5" x14ac:dyDescent="0.25">
      <c r="A827" s="5">
        <v>1487</v>
      </c>
      <c r="B827" s="6">
        <v>6</v>
      </c>
      <c r="C827" s="5" t="s">
        <v>787</v>
      </c>
      <c r="D827" s="6">
        <v>1</v>
      </c>
      <c r="E827"/>
    </row>
    <row r="828" spans="1:5" x14ac:dyDescent="0.25">
      <c r="A828" s="5">
        <v>2301</v>
      </c>
      <c r="B828" s="6">
        <v>4.8</v>
      </c>
      <c r="C828" s="5" t="s">
        <v>788</v>
      </c>
      <c r="D828" s="6">
        <v>0.2</v>
      </c>
      <c r="E828"/>
    </row>
    <row r="829" spans="1:5" x14ac:dyDescent="0.25">
      <c r="A829" s="5">
        <v>2302</v>
      </c>
      <c r="B829" s="6">
        <v>22</v>
      </c>
      <c r="C829" s="5" t="s">
        <v>789</v>
      </c>
      <c r="D829" s="6">
        <v>1</v>
      </c>
      <c r="E829"/>
    </row>
    <row r="830" spans="1:5" x14ac:dyDescent="0.25">
      <c r="A830" s="5">
        <v>2300</v>
      </c>
      <c r="B830" s="6">
        <v>3</v>
      </c>
      <c r="C830" s="5" t="s">
        <v>790</v>
      </c>
      <c r="D830" s="6">
        <v>0.2</v>
      </c>
      <c r="E830"/>
    </row>
    <row r="831" spans="1:5" x14ac:dyDescent="0.25">
      <c r="A831" s="5">
        <v>2315</v>
      </c>
      <c r="B831" s="6">
        <v>10</v>
      </c>
      <c r="C831" s="5" t="s">
        <v>791</v>
      </c>
      <c r="D831" s="6">
        <v>5</v>
      </c>
      <c r="E831"/>
    </row>
    <row r="832" spans="1:5" x14ac:dyDescent="0.25">
      <c r="A832" s="5">
        <v>2314</v>
      </c>
      <c r="B832" s="6">
        <v>20</v>
      </c>
      <c r="C832" s="5" t="s">
        <v>792</v>
      </c>
      <c r="D832" s="6"/>
      <c r="E832"/>
    </row>
    <row r="833" spans="1:5" x14ac:dyDescent="0.25">
      <c r="A833" s="5">
        <v>2327</v>
      </c>
      <c r="B833" s="6">
        <v>12</v>
      </c>
      <c r="C833" s="5" t="s">
        <v>793</v>
      </c>
      <c r="D833" s="6"/>
      <c r="E833"/>
    </row>
    <row r="834" spans="1:5" x14ac:dyDescent="0.25">
      <c r="A834" s="5">
        <v>2323</v>
      </c>
      <c r="B834" s="6">
        <v>12</v>
      </c>
      <c r="C834" s="5" t="s">
        <v>794</v>
      </c>
      <c r="D834" s="6">
        <v>1</v>
      </c>
      <c r="E834"/>
    </row>
    <row r="835" spans="1:5" x14ac:dyDescent="0.25">
      <c r="A835" s="5">
        <v>2326</v>
      </c>
      <c r="B835" s="6">
        <v>12</v>
      </c>
      <c r="C835" s="5" t="s">
        <v>795</v>
      </c>
      <c r="D835" s="6"/>
      <c r="E835"/>
    </row>
    <row r="836" spans="1:5" x14ac:dyDescent="0.25">
      <c r="A836" s="5">
        <v>2328</v>
      </c>
      <c r="B836" s="6">
        <v>10.5</v>
      </c>
      <c r="C836" s="5" t="s">
        <v>796</v>
      </c>
      <c r="D836" s="6">
        <v>0.75</v>
      </c>
      <c r="E836"/>
    </row>
    <row r="837" spans="1:5" x14ac:dyDescent="0.25">
      <c r="A837" s="5">
        <v>2321</v>
      </c>
      <c r="B837" s="6">
        <v>2.61</v>
      </c>
      <c r="C837" s="5" t="s">
        <v>797</v>
      </c>
      <c r="D837" s="6"/>
      <c r="E837"/>
    </row>
    <row r="838" spans="1:5" x14ac:dyDescent="0.25">
      <c r="A838" s="5">
        <v>2325</v>
      </c>
      <c r="B838" s="6">
        <v>12</v>
      </c>
      <c r="C838" s="5" t="s">
        <v>798</v>
      </c>
      <c r="D838" s="6">
        <v>1</v>
      </c>
      <c r="E838"/>
    </row>
    <row r="839" spans="1:5" x14ac:dyDescent="0.25">
      <c r="A839" s="5">
        <v>2324</v>
      </c>
      <c r="B839" s="6">
        <v>12</v>
      </c>
      <c r="C839" s="5" t="s">
        <v>799</v>
      </c>
      <c r="D839" s="6">
        <v>1</v>
      </c>
      <c r="E839"/>
    </row>
    <row r="840" spans="1:5" x14ac:dyDescent="0.25">
      <c r="A840" s="5">
        <v>2329</v>
      </c>
      <c r="B840" s="6">
        <v>6</v>
      </c>
      <c r="C840" s="5" t="s">
        <v>800</v>
      </c>
      <c r="D840" s="6"/>
      <c r="E840"/>
    </row>
    <row r="841" spans="1:5" x14ac:dyDescent="0.25">
      <c r="A841" s="5">
        <v>2320</v>
      </c>
      <c r="B841" s="6">
        <f>9*1.5</f>
        <v>13.5</v>
      </c>
      <c r="C841" s="5" t="s">
        <v>801</v>
      </c>
      <c r="D841" s="6">
        <v>1.5</v>
      </c>
      <c r="E841"/>
    </row>
    <row r="842" spans="1:5" x14ac:dyDescent="0.25">
      <c r="A842" s="5">
        <v>2337</v>
      </c>
      <c r="B842" s="6">
        <v>12</v>
      </c>
      <c r="C842" s="5" t="s">
        <v>802</v>
      </c>
      <c r="D842" s="6">
        <v>1</v>
      </c>
      <c r="E842"/>
    </row>
    <row r="843" spans="1:5" x14ac:dyDescent="0.25">
      <c r="A843" s="5">
        <v>2338</v>
      </c>
      <c r="B843" s="6">
        <v>20</v>
      </c>
      <c r="C843" s="5" t="s">
        <v>803</v>
      </c>
      <c r="D843" s="6">
        <v>1</v>
      </c>
      <c r="E843"/>
    </row>
    <row r="844" spans="1:5" x14ac:dyDescent="0.25">
      <c r="A844" s="5">
        <v>2345</v>
      </c>
      <c r="B844" s="6">
        <v>6</v>
      </c>
      <c r="C844" s="5" t="s">
        <v>804</v>
      </c>
      <c r="D844" s="6">
        <v>0.5</v>
      </c>
      <c r="E844"/>
    </row>
    <row r="845" spans="1:5" x14ac:dyDescent="0.25">
      <c r="A845" s="5">
        <v>2339</v>
      </c>
      <c r="B845" s="6">
        <v>1</v>
      </c>
      <c r="C845" s="5" t="s">
        <v>805</v>
      </c>
      <c r="D845" s="6"/>
      <c r="E845"/>
    </row>
    <row r="846" spans="1:5" x14ac:dyDescent="0.25">
      <c r="A846" s="5">
        <v>2340</v>
      </c>
      <c r="B846" s="6">
        <v>40</v>
      </c>
      <c r="C846" s="5" t="s">
        <v>806</v>
      </c>
      <c r="D846" s="6">
        <v>1</v>
      </c>
      <c r="E846"/>
    </row>
    <row r="847" spans="1:5" x14ac:dyDescent="0.25">
      <c r="A847" s="5">
        <v>2341</v>
      </c>
      <c r="B847" s="6">
        <v>40</v>
      </c>
      <c r="C847" s="5" t="s">
        <v>807</v>
      </c>
      <c r="D847" s="6">
        <v>1</v>
      </c>
      <c r="E847"/>
    </row>
    <row r="848" spans="1:5" x14ac:dyDescent="0.25">
      <c r="A848" s="5">
        <v>2342</v>
      </c>
      <c r="B848" s="6">
        <v>40</v>
      </c>
      <c r="C848" s="5" t="s">
        <v>808</v>
      </c>
      <c r="D848" s="6">
        <v>1</v>
      </c>
      <c r="E848"/>
    </row>
    <row r="849" spans="1:5" x14ac:dyDescent="0.25">
      <c r="A849" s="5">
        <v>2343</v>
      </c>
      <c r="B849" s="6">
        <v>1</v>
      </c>
      <c r="C849" s="5" t="s">
        <v>809</v>
      </c>
      <c r="D849" s="6"/>
      <c r="E849"/>
    </row>
    <row r="850" spans="1:5" x14ac:dyDescent="0.25">
      <c r="A850" s="5">
        <v>2344</v>
      </c>
      <c r="B850" s="6">
        <v>1</v>
      </c>
      <c r="C850" s="5" t="s">
        <v>810</v>
      </c>
      <c r="D850" s="6"/>
      <c r="E850"/>
    </row>
    <row r="851" spans="1:5" x14ac:dyDescent="0.25">
      <c r="A851" s="5">
        <v>2336</v>
      </c>
      <c r="B851" s="6">
        <v>2.4</v>
      </c>
      <c r="C851" s="5" t="s">
        <v>811</v>
      </c>
      <c r="D851" s="6"/>
      <c r="E851"/>
    </row>
    <row r="852" spans="1:5" x14ac:dyDescent="0.25">
      <c r="A852" s="5">
        <v>2366</v>
      </c>
      <c r="B852" s="6">
        <f>4.2*4</f>
        <v>16.8</v>
      </c>
      <c r="C852" s="5" t="s">
        <v>781</v>
      </c>
      <c r="D852" s="6">
        <v>4.2</v>
      </c>
      <c r="E852"/>
    </row>
    <row r="853" spans="1:5" x14ac:dyDescent="0.25">
      <c r="A853" s="5">
        <v>2365</v>
      </c>
      <c r="B853" s="6">
        <v>16</v>
      </c>
      <c r="C853" s="5" t="s">
        <v>812</v>
      </c>
      <c r="D853" s="6">
        <v>1</v>
      </c>
      <c r="E853"/>
    </row>
    <row r="854" spans="1:5" x14ac:dyDescent="0.25">
      <c r="A854" s="5">
        <v>2367</v>
      </c>
      <c r="B854" s="6">
        <v>10</v>
      </c>
      <c r="C854" s="5" t="s">
        <v>813</v>
      </c>
      <c r="D854" s="6">
        <v>0.5</v>
      </c>
      <c r="E854"/>
    </row>
    <row r="855" spans="1:5" x14ac:dyDescent="0.25">
      <c r="A855" s="5"/>
      <c r="B855" s="6"/>
      <c r="C855" s="5"/>
      <c r="D855" s="6"/>
      <c r="E855"/>
    </row>
    <row r="856" spans="1:5" x14ac:dyDescent="0.25">
      <c r="A856" s="5">
        <v>2305</v>
      </c>
      <c r="B856" s="6">
        <v>18</v>
      </c>
      <c r="C856" s="5" t="s">
        <v>814</v>
      </c>
      <c r="D856" s="6">
        <v>1</v>
      </c>
      <c r="E856"/>
    </row>
    <row r="857" spans="1:5" x14ac:dyDescent="0.25">
      <c r="A857" s="5">
        <v>2306</v>
      </c>
      <c r="B857" s="6">
        <v>18</v>
      </c>
      <c r="C857" s="5" t="s">
        <v>815</v>
      </c>
      <c r="D857" s="6">
        <v>1</v>
      </c>
      <c r="E857"/>
    </row>
    <row r="858" spans="1:5" x14ac:dyDescent="0.25">
      <c r="A858" s="5">
        <v>2332</v>
      </c>
      <c r="B858" s="6">
        <v>18</v>
      </c>
      <c r="C858" s="5" t="s">
        <v>816</v>
      </c>
      <c r="D858" s="6">
        <v>1</v>
      </c>
      <c r="E858"/>
    </row>
    <row r="859" spans="1:5" x14ac:dyDescent="0.25">
      <c r="A859" s="5">
        <v>2351</v>
      </c>
      <c r="B859" s="6">
        <v>22</v>
      </c>
      <c r="C859" s="5" t="s">
        <v>817</v>
      </c>
      <c r="D859" s="6">
        <v>1</v>
      </c>
      <c r="E859"/>
    </row>
    <row r="860" spans="1:5" x14ac:dyDescent="0.25">
      <c r="A860" s="5">
        <v>2369</v>
      </c>
      <c r="B860" s="6">
        <v>12</v>
      </c>
      <c r="C860" s="5" t="s">
        <v>818</v>
      </c>
      <c r="D860" s="6"/>
      <c r="E860"/>
    </row>
    <row r="861" spans="1:5" x14ac:dyDescent="0.25">
      <c r="A861" s="5">
        <v>2370</v>
      </c>
      <c r="B861" s="6">
        <v>18</v>
      </c>
      <c r="C861" s="5" t="s">
        <v>819</v>
      </c>
      <c r="D861" s="6">
        <v>1</v>
      </c>
      <c r="E861"/>
    </row>
    <row r="862" spans="1:5" x14ac:dyDescent="0.25">
      <c r="A862" s="5">
        <v>2372</v>
      </c>
      <c r="B862" s="6">
        <v>18</v>
      </c>
      <c r="C862" s="5" t="s">
        <v>820</v>
      </c>
      <c r="D862" s="6">
        <v>1</v>
      </c>
      <c r="E862"/>
    </row>
    <row r="863" spans="1:5" x14ac:dyDescent="0.25">
      <c r="A863" s="5">
        <v>2371</v>
      </c>
      <c r="B863" s="6">
        <v>16</v>
      </c>
      <c r="C863" s="5" t="s">
        <v>821</v>
      </c>
      <c r="D863" s="6">
        <v>1</v>
      </c>
      <c r="E863"/>
    </row>
    <row r="864" spans="1:5" x14ac:dyDescent="0.25">
      <c r="A864" s="5">
        <v>2374</v>
      </c>
      <c r="B864" s="6">
        <v>19</v>
      </c>
      <c r="C864" s="5" t="s">
        <v>822</v>
      </c>
      <c r="D864" s="6">
        <v>1.9</v>
      </c>
      <c r="E864"/>
    </row>
    <row r="865" spans="1:5" x14ac:dyDescent="0.25">
      <c r="A865" s="5">
        <v>2382</v>
      </c>
      <c r="B865" s="6">
        <v>22</v>
      </c>
      <c r="C865" s="5" t="s">
        <v>823</v>
      </c>
      <c r="D865" s="6"/>
      <c r="E865"/>
    </row>
    <row r="866" spans="1:5" x14ac:dyDescent="0.25">
      <c r="A866" s="5">
        <v>2350</v>
      </c>
      <c r="B866" s="6">
        <v>22</v>
      </c>
      <c r="C866" s="5" t="s">
        <v>824</v>
      </c>
      <c r="D866" s="6">
        <v>1</v>
      </c>
      <c r="E866"/>
    </row>
    <row r="867" spans="1:5" x14ac:dyDescent="0.25">
      <c r="A867" s="5">
        <v>2378</v>
      </c>
      <c r="B867" s="6">
        <v>12.8</v>
      </c>
      <c r="C867" s="5" t="s">
        <v>825</v>
      </c>
      <c r="D867" s="6">
        <v>0.8</v>
      </c>
      <c r="E867"/>
    </row>
    <row r="868" spans="1:5" x14ac:dyDescent="0.25">
      <c r="A868" s="5">
        <v>2398</v>
      </c>
      <c r="B868" s="6">
        <v>12</v>
      </c>
      <c r="C868" s="5" t="s">
        <v>826</v>
      </c>
      <c r="D868" s="6"/>
      <c r="E868"/>
    </row>
    <row r="869" spans="1:5" x14ac:dyDescent="0.25">
      <c r="A869" s="5">
        <v>2394</v>
      </c>
      <c r="B869" s="6">
        <v>10</v>
      </c>
      <c r="C869" s="5" t="s">
        <v>827</v>
      </c>
      <c r="D869" s="6">
        <v>1</v>
      </c>
      <c r="E869"/>
    </row>
    <row r="870" spans="1:5" x14ac:dyDescent="0.25">
      <c r="A870" s="5">
        <v>2397</v>
      </c>
      <c r="B870" s="6">
        <v>15</v>
      </c>
      <c r="C870" s="5" t="s">
        <v>828</v>
      </c>
      <c r="D870" s="6"/>
      <c r="E870"/>
    </row>
    <row r="871" spans="1:5" x14ac:dyDescent="0.25">
      <c r="A871" s="5">
        <v>1382</v>
      </c>
      <c r="B871" s="6">
        <v>50</v>
      </c>
      <c r="C871" s="5" t="s">
        <v>829</v>
      </c>
      <c r="D871" s="6">
        <v>1</v>
      </c>
      <c r="E871"/>
    </row>
    <row r="872" spans="1:5" x14ac:dyDescent="0.25">
      <c r="A872" s="5">
        <v>2400</v>
      </c>
      <c r="B872" s="6">
        <v>12</v>
      </c>
      <c r="C872" s="5" t="s">
        <v>830</v>
      </c>
      <c r="D872" s="6">
        <v>2</v>
      </c>
      <c r="E872"/>
    </row>
    <row r="873" spans="1:5" x14ac:dyDescent="0.25">
      <c r="A873" s="5">
        <v>2399</v>
      </c>
      <c r="B873" s="6">
        <v>20</v>
      </c>
      <c r="C873" s="5" t="s">
        <v>831</v>
      </c>
      <c r="D873" s="6"/>
      <c r="E873"/>
    </row>
    <row r="874" spans="1:5" x14ac:dyDescent="0.25">
      <c r="A874" s="5">
        <v>2389</v>
      </c>
      <c r="B874" s="6">
        <v>5.04</v>
      </c>
      <c r="C874" s="5" t="s">
        <v>832</v>
      </c>
      <c r="D874" s="6">
        <v>0.24</v>
      </c>
      <c r="E874"/>
    </row>
    <row r="875" spans="1:5" x14ac:dyDescent="0.25">
      <c r="A875" s="5">
        <v>2408</v>
      </c>
      <c r="B875" s="6">
        <v>18</v>
      </c>
      <c r="C875" s="5" t="s">
        <v>833</v>
      </c>
      <c r="D875" s="6"/>
      <c r="E875"/>
    </row>
    <row r="876" spans="1:5" x14ac:dyDescent="0.25">
      <c r="A876" s="5">
        <v>2409</v>
      </c>
      <c r="B876" s="6">
        <v>18</v>
      </c>
      <c r="C876" s="5" t="s">
        <v>834</v>
      </c>
      <c r="D876" s="6"/>
      <c r="E876"/>
    </row>
    <row r="877" spans="1:5" x14ac:dyDescent="0.25">
      <c r="A877" s="5">
        <v>2410</v>
      </c>
      <c r="B877" s="6">
        <v>20</v>
      </c>
      <c r="C877" s="5" t="s">
        <v>835</v>
      </c>
      <c r="D877" s="6"/>
      <c r="E877"/>
    </row>
    <row r="878" spans="1:5" x14ac:dyDescent="0.25">
      <c r="A878" s="5">
        <v>2352</v>
      </c>
      <c r="B878" s="6">
        <v>2.7</v>
      </c>
      <c r="C878" s="5" t="s">
        <v>836</v>
      </c>
      <c r="D878" s="6">
        <f>2.7/15</f>
        <v>0.18000000000000002</v>
      </c>
      <c r="E878"/>
    </row>
    <row r="879" spans="1:5" x14ac:dyDescent="0.25">
      <c r="A879" s="5">
        <v>2414</v>
      </c>
      <c r="B879" s="6">
        <v>12</v>
      </c>
      <c r="C879" s="5" t="s">
        <v>837</v>
      </c>
      <c r="D879" s="6">
        <v>1</v>
      </c>
      <c r="E879"/>
    </row>
    <row r="880" spans="1:5" x14ac:dyDescent="0.25">
      <c r="A880" s="5">
        <v>2396</v>
      </c>
      <c r="B880" s="6">
        <v>6</v>
      </c>
      <c r="C880" s="5" t="s">
        <v>838</v>
      </c>
      <c r="D880" s="6"/>
      <c r="E880"/>
    </row>
    <row r="881" spans="1:5" x14ac:dyDescent="0.25">
      <c r="A881" s="5">
        <v>2411</v>
      </c>
      <c r="B881" s="6">
        <v>12</v>
      </c>
      <c r="C881" s="5" t="s">
        <v>839</v>
      </c>
      <c r="D881" s="6"/>
      <c r="E881"/>
    </row>
    <row r="882" spans="1:5" x14ac:dyDescent="0.25">
      <c r="A882" s="5">
        <v>2417</v>
      </c>
      <c r="B882" s="6">
        <v>20</v>
      </c>
      <c r="C882" s="5" t="s">
        <v>840</v>
      </c>
      <c r="D882" s="6">
        <v>1</v>
      </c>
      <c r="E882"/>
    </row>
    <row r="883" spans="1:5" x14ac:dyDescent="0.25">
      <c r="A883" s="5">
        <v>2421</v>
      </c>
      <c r="B883" s="6">
        <v>30</v>
      </c>
      <c r="C883" s="5" t="s">
        <v>841</v>
      </c>
      <c r="D883" s="6">
        <v>1</v>
      </c>
      <c r="E883"/>
    </row>
    <row r="884" spans="1:5" x14ac:dyDescent="0.25">
      <c r="A884" s="5">
        <v>2427</v>
      </c>
      <c r="B884" s="6">
        <v>10</v>
      </c>
      <c r="C884" s="5" t="s">
        <v>842</v>
      </c>
      <c r="D884" s="6">
        <v>0.5</v>
      </c>
      <c r="E884"/>
    </row>
    <row r="885" spans="1:5" x14ac:dyDescent="0.25">
      <c r="A885" s="5">
        <v>2419</v>
      </c>
      <c r="B885" s="6">
        <v>10</v>
      </c>
      <c r="C885" s="5" t="s">
        <v>843</v>
      </c>
      <c r="D885" s="6"/>
      <c r="E885"/>
    </row>
    <row r="886" spans="1:5" x14ac:dyDescent="0.25">
      <c r="A886" s="5">
        <v>2429</v>
      </c>
      <c r="B886" s="6">
        <v>24</v>
      </c>
      <c r="C886" s="5" t="s">
        <v>844</v>
      </c>
      <c r="D886" s="6">
        <v>6</v>
      </c>
      <c r="E886"/>
    </row>
    <row r="887" spans="1:5" x14ac:dyDescent="0.25">
      <c r="A887" s="5">
        <v>2430</v>
      </c>
      <c r="B887" s="6">
        <v>15</v>
      </c>
      <c r="C887" s="5" t="s">
        <v>845</v>
      </c>
      <c r="D887" s="6"/>
      <c r="E887"/>
    </row>
    <row r="888" spans="1:5" x14ac:dyDescent="0.25">
      <c r="A888" s="5">
        <v>2432</v>
      </c>
      <c r="B888" s="6">
        <v>12</v>
      </c>
      <c r="C888" s="5" t="s">
        <v>846</v>
      </c>
      <c r="D888" s="6">
        <v>2</v>
      </c>
      <c r="E888"/>
    </row>
    <row r="889" spans="1:5" x14ac:dyDescent="0.25">
      <c r="A889" s="5">
        <v>2392</v>
      </c>
      <c r="B889" s="6">
        <v>12</v>
      </c>
      <c r="C889" s="5" t="s">
        <v>133</v>
      </c>
      <c r="D889" s="6">
        <v>1</v>
      </c>
      <c r="E889"/>
    </row>
    <row r="890" spans="1:5" x14ac:dyDescent="0.25">
      <c r="A890" s="5">
        <v>2425</v>
      </c>
      <c r="B890" s="6">
        <v>18</v>
      </c>
      <c r="C890" s="5" t="s">
        <v>847</v>
      </c>
      <c r="D890" s="6"/>
      <c r="E890"/>
    </row>
    <row r="891" spans="1:5" x14ac:dyDescent="0.25">
      <c r="A891" s="5">
        <v>2433</v>
      </c>
      <c r="B891" s="6">
        <v>10</v>
      </c>
      <c r="C891" s="5" t="s">
        <v>848</v>
      </c>
      <c r="D891" s="6">
        <v>0.5</v>
      </c>
      <c r="E891"/>
    </row>
    <row r="892" spans="1:5" x14ac:dyDescent="0.25">
      <c r="A892" s="5">
        <v>2434</v>
      </c>
      <c r="B892" s="6">
        <v>12</v>
      </c>
      <c r="C892" s="5" t="s">
        <v>849</v>
      </c>
      <c r="D892" s="6">
        <v>0.8</v>
      </c>
      <c r="E892"/>
    </row>
    <row r="893" spans="1:5" x14ac:dyDescent="0.25">
      <c r="A893" s="5">
        <v>2426</v>
      </c>
      <c r="B893" s="6">
        <v>20.25</v>
      </c>
      <c r="C893" s="5" t="s">
        <v>850</v>
      </c>
      <c r="D893" s="6">
        <v>0.75</v>
      </c>
      <c r="E893"/>
    </row>
    <row r="894" spans="1:5" x14ac:dyDescent="0.25">
      <c r="A894" s="5">
        <v>2150</v>
      </c>
      <c r="B894" s="6">
        <v>12</v>
      </c>
      <c r="C894" s="5" t="s">
        <v>851</v>
      </c>
      <c r="D894" s="6">
        <v>1</v>
      </c>
      <c r="E894"/>
    </row>
    <row r="895" spans="1:5" x14ac:dyDescent="0.25">
      <c r="A895" s="5">
        <v>2436</v>
      </c>
      <c r="B895" s="6">
        <v>15</v>
      </c>
      <c r="C895" s="5" t="s">
        <v>852</v>
      </c>
      <c r="D895" s="6">
        <v>2.5</v>
      </c>
      <c r="E895"/>
    </row>
    <row r="896" spans="1:5" x14ac:dyDescent="0.25">
      <c r="A896" s="5">
        <v>2384</v>
      </c>
      <c r="B896" s="6">
        <f>12*0.45</f>
        <v>5.4</v>
      </c>
      <c r="C896" s="5" t="s">
        <v>853</v>
      </c>
      <c r="D896" s="6">
        <v>0.45</v>
      </c>
      <c r="E896"/>
    </row>
    <row r="897" spans="1:5" x14ac:dyDescent="0.25">
      <c r="A897" s="5">
        <v>2431</v>
      </c>
      <c r="B897" s="6">
        <v>15.4</v>
      </c>
      <c r="C897" s="5" t="s">
        <v>854</v>
      </c>
      <c r="D897" s="6">
        <f>15.4/4</f>
        <v>3.85</v>
      </c>
      <c r="E897"/>
    </row>
    <row r="898" spans="1:5" x14ac:dyDescent="0.25">
      <c r="A898" s="5">
        <v>2383</v>
      </c>
      <c r="B898" s="6">
        <v>2.7</v>
      </c>
      <c r="C898" s="5" t="s">
        <v>855</v>
      </c>
      <c r="D898" s="6">
        <f>2.7/15</f>
        <v>0.18000000000000002</v>
      </c>
      <c r="E898"/>
    </row>
    <row r="899" spans="1:5" x14ac:dyDescent="0.25">
      <c r="A899" s="5">
        <v>2418</v>
      </c>
      <c r="B899" s="6">
        <v>10.8</v>
      </c>
      <c r="C899" s="5" t="s">
        <v>856</v>
      </c>
      <c r="D899" s="6">
        <v>1.2</v>
      </c>
      <c r="E899"/>
    </row>
    <row r="900" spans="1:5" x14ac:dyDescent="0.25">
      <c r="A900" s="5">
        <v>2412</v>
      </c>
      <c r="B900" s="6">
        <v>10.8</v>
      </c>
      <c r="C900" s="5" t="s">
        <v>857</v>
      </c>
      <c r="D900" s="6">
        <v>1.2</v>
      </c>
      <c r="E900"/>
    </row>
    <row r="901" spans="1:5" x14ac:dyDescent="0.25">
      <c r="A901" s="5">
        <v>2435</v>
      </c>
      <c r="B901" s="6">
        <v>3.3</v>
      </c>
      <c r="C901" s="5" t="s">
        <v>858</v>
      </c>
      <c r="D901" s="6">
        <f>3.3/11</f>
        <v>0.3</v>
      </c>
      <c r="E901"/>
    </row>
    <row r="902" spans="1:5" x14ac:dyDescent="0.25">
      <c r="A902" s="5">
        <v>2446</v>
      </c>
      <c r="B902" s="6">
        <v>18</v>
      </c>
      <c r="C902" s="5" t="s">
        <v>859</v>
      </c>
      <c r="D902" s="6"/>
      <c r="E902"/>
    </row>
    <row r="903" spans="1:5" x14ac:dyDescent="0.25">
      <c r="A903" s="5">
        <v>2447</v>
      </c>
      <c r="B903" s="6">
        <v>10</v>
      </c>
      <c r="C903" s="5" t="s">
        <v>860</v>
      </c>
      <c r="D903" s="6">
        <v>0.5</v>
      </c>
      <c r="E903"/>
    </row>
    <row r="904" spans="1:5" x14ac:dyDescent="0.25">
      <c r="A904" s="5">
        <v>2441</v>
      </c>
      <c r="B904" s="6">
        <v>15</v>
      </c>
      <c r="C904" s="5" t="s">
        <v>861</v>
      </c>
      <c r="D904" s="6">
        <v>2.5</v>
      </c>
      <c r="E904"/>
    </row>
    <row r="905" spans="1:5" x14ac:dyDescent="0.25">
      <c r="A905" s="5">
        <v>2428</v>
      </c>
      <c r="B905" s="6">
        <v>18</v>
      </c>
      <c r="C905" s="5" t="s">
        <v>862</v>
      </c>
      <c r="D905" s="6"/>
      <c r="E905"/>
    </row>
    <row r="906" spans="1:5" x14ac:dyDescent="0.25">
      <c r="A906" s="5">
        <v>2445</v>
      </c>
      <c r="B906" s="6">
        <v>5.52</v>
      </c>
      <c r="C906" s="5" t="s">
        <v>863</v>
      </c>
      <c r="D906" s="6">
        <f>5.52/12</f>
        <v>0.45999999999999996</v>
      </c>
      <c r="E906"/>
    </row>
    <row r="907" spans="1:5" x14ac:dyDescent="0.25">
      <c r="A907" s="5">
        <v>2413</v>
      </c>
      <c r="B907" s="6">
        <v>12</v>
      </c>
      <c r="C907" s="5" t="s">
        <v>864</v>
      </c>
      <c r="D907" s="6">
        <v>1</v>
      </c>
      <c r="E907"/>
    </row>
    <row r="908" spans="1:5" x14ac:dyDescent="0.25">
      <c r="A908" s="5">
        <v>2448</v>
      </c>
      <c r="B908" s="6">
        <v>10</v>
      </c>
      <c r="C908" s="5" t="s">
        <v>865</v>
      </c>
      <c r="D908" s="6">
        <v>0.5</v>
      </c>
      <c r="E908"/>
    </row>
    <row r="909" spans="1:5" x14ac:dyDescent="0.25">
      <c r="A909" s="5">
        <v>2449</v>
      </c>
      <c r="B909" s="6">
        <v>10</v>
      </c>
      <c r="C909" s="5" t="s">
        <v>866</v>
      </c>
      <c r="D909" s="6">
        <v>0.5</v>
      </c>
      <c r="E909"/>
    </row>
    <row r="910" spans="1:5" x14ac:dyDescent="0.25">
      <c r="A910" s="5">
        <v>2454</v>
      </c>
      <c r="B910" s="6">
        <v>2.75</v>
      </c>
      <c r="C910" s="5" t="s">
        <v>867</v>
      </c>
      <c r="D910" s="6">
        <f>2.75/25</f>
        <v>0.11</v>
      </c>
      <c r="E910"/>
    </row>
    <row r="911" spans="1:5" x14ac:dyDescent="0.25">
      <c r="A911" s="5">
        <v>2453</v>
      </c>
      <c r="B911" s="6">
        <v>6</v>
      </c>
      <c r="C911" s="5" t="s">
        <v>868</v>
      </c>
      <c r="D911" s="6"/>
      <c r="E911"/>
    </row>
    <row r="912" spans="1:5" x14ac:dyDescent="0.25">
      <c r="A912" s="5">
        <v>2440</v>
      </c>
      <c r="B912" s="6">
        <v>14</v>
      </c>
      <c r="C912" s="5" t="s">
        <v>869</v>
      </c>
      <c r="D912" s="6">
        <f>14/4</f>
        <v>3.5</v>
      </c>
      <c r="E912"/>
    </row>
    <row r="913" spans="1:5" x14ac:dyDescent="0.25">
      <c r="A913" s="5">
        <v>2465</v>
      </c>
      <c r="B913" s="6">
        <v>3.3</v>
      </c>
      <c r="C913" s="5" t="s">
        <v>870</v>
      </c>
      <c r="D913" s="6">
        <v>0.3</v>
      </c>
      <c r="E913"/>
    </row>
    <row r="914" spans="1:5" x14ac:dyDescent="0.25">
      <c r="A914" s="5">
        <v>2464</v>
      </c>
      <c r="B914" s="6">
        <v>12</v>
      </c>
      <c r="C914" s="5" t="s">
        <v>871</v>
      </c>
      <c r="D914" s="6">
        <v>0.8</v>
      </c>
      <c r="E914"/>
    </row>
    <row r="915" spans="1:5" x14ac:dyDescent="0.25">
      <c r="A915" s="5">
        <v>2468</v>
      </c>
      <c r="B915" s="6">
        <v>30</v>
      </c>
      <c r="C915" s="5" t="s">
        <v>872</v>
      </c>
      <c r="D915" s="6">
        <v>1</v>
      </c>
      <c r="E915"/>
    </row>
    <row r="916" spans="1:5" x14ac:dyDescent="0.25">
      <c r="A916" s="5">
        <v>2472</v>
      </c>
      <c r="B916" s="6">
        <v>10</v>
      </c>
      <c r="C916" s="5" t="s">
        <v>873</v>
      </c>
      <c r="D916" s="6"/>
      <c r="E916"/>
    </row>
    <row r="917" spans="1:5" x14ac:dyDescent="0.25">
      <c r="A917" s="5">
        <v>2391</v>
      </c>
      <c r="B917" s="6">
        <v>12</v>
      </c>
      <c r="C917" s="5" t="s">
        <v>874</v>
      </c>
      <c r="D917" s="6"/>
      <c r="E917"/>
    </row>
    <row r="918" spans="1:5" x14ac:dyDescent="0.25">
      <c r="A918" s="5">
        <v>2471</v>
      </c>
      <c r="B918" s="6">
        <v>10</v>
      </c>
      <c r="C918" s="5" t="s">
        <v>875</v>
      </c>
      <c r="D918" s="6">
        <v>1</v>
      </c>
      <c r="E918"/>
    </row>
    <row r="919" spans="1:5" x14ac:dyDescent="0.25">
      <c r="A919" s="5">
        <v>2463</v>
      </c>
      <c r="B919" s="6">
        <v>6</v>
      </c>
      <c r="C919" s="5" t="s">
        <v>876</v>
      </c>
      <c r="D919" s="6"/>
      <c r="E919"/>
    </row>
    <row r="920" spans="1:5" x14ac:dyDescent="0.25">
      <c r="A920" s="5">
        <v>2488</v>
      </c>
      <c r="B920" s="6">
        <v>15</v>
      </c>
      <c r="C920" s="5" t="s">
        <v>877</v>
      </c>
      <c r="D920" s="6"/>
      <c r="E920"/>
    </row>
    <row r="921" spans="1:5" x14ac:dyDescent="0.25">
      <c r="A921" s="5">
        <v>2470</v>
      </c>
      <c r="B921" s="6">
        <v>15</v>
      </c>
      <c r="C921" s="5" t="s">
        <v>878</v>
      </c>
      <c r="D921" s="6">
        <f>15/6</f>
        <v>2.5</v>
      </c>
      <c r="E921"/>
    </row>
    <row r="922" spans="1:5" x14ac:dyDescent="0.25">
      <c r="A922" s="5">
        <v>2482</v>
      </c>
      <c r="B922" s="6">
        <v>6</v>
      </c>
      <c r="C922" s="5" t="s">
        <v>879</v>
      </c>
      <c r="D922" s="6"/>
      <c r="E922"/>
    </row>
    <row r="923" spans="1:5" x14ac:dyDescent="0.25">
      <c r="A923" s="5">
        <v>2484</v>
      </c>
      <c r="B923" s="6">
        <v>3.6</v>
      </c>
      <c r="C923" s="5" t="s">
        <v>880</v>
      </c>
      <c r="D923" s="6">
        <v>0.15</v>
      </c>
      <c r="E923"/>
    </row>
    <row r="924" spans="1:5" x14ac:dyDescent="0.25">
      <c r="A924" s="5">
        <v>2485</v>
      </c>
      <c r="B924" s="6">
        <f>4.1*6</f>
        <v>24.599999999999998</v>
      </c>
      <c r="C924" s="5" t="s">
        <v>881</v>
      </c>
      <c r="D924" s="6">
        <v>4.0999999999999996</v>
      </c>
      <c r="E924"/>
    </row>
    <row r="925" spans="1:5" x14ac:dyDescent="0.25">
      <c r="A925" s="5">
        <v>2494</v>
      </c>
      <c r="B925" s="6">
        <v>18</v>
      </c>
      <c r="C925" s="5" t="s">
        <v>882</v>
      </c>
      <c r="D925" s="6">
        <v>1</v>
      </c>
      <c r="E925"/>
    </row>
    <row r="926" spans="1:5" x14ac:dyDescent="0.25">
      <c r="A926" s="5">
        <v>2500</v>
      </c>
      <c r="B926" s="6">
        <v>20</v>
      </c>
      <c r="C926" s="5" t="s">
        <v>883</v>
      </c>
      <c r="D926" s="6"/>
      <c r="E926"/>
    </row>
    <row r="927" spans="1:5" x14ac:dyDescent="0.25">
      <c r="A927" s="5">
        <v>2491</v>
      </c>
      <c r="B927" s="6">
        <v>10</v>
      </c>
      <c r="C927" s="5" t="s">
        <v>884</v>
      </c>
      <c r="D927" s="6"/>
      <c r="E927"/>
    </row>
    <row r="928" spans="1:5" x14ac:dyDescent="0.25">
      <c r="A928" s="5">
        <v>2490</v>
      </c>
      <c r="B928" s="6">
        <v>4.8</v>
      </c>
      <c r="C928" s="5" t="s">
        <v>885</v>
      </c>
      <c r="D928" s="6">
        <v>0.2</v>
      </c>
      <c r="E928"/>
    </row>
    <row r="929" spans="1:5" x14ac:dyDescent="0.25">
      <c r="A929" s="5">
        <v>2475</v>
      </c>
      <c r="B929" s="6">
        <v>6</v>
      </c>
      <c r="C929" s="5" t="s">
        <v>886</v>
      </c>
      <c r="D929" s="6"/>
      <c r="E929"/>
    </row>
    <row r="930" spans="1:5" x14ac:dyDescent="0.25">
      <c r="A930" s="5">
        <v>2502</v>
      </c>
      <c r="B930" s="6">
        <v>12</v>
      </c>
      <c r="C930" s="5" t="s">
        <v>887</v>
      </c>
      <c r="D930" s="6">
        <v>1</v>
      </c>
      <c r="E930"/>
    </row>
    <row r="931" spans="1:5" x14ac:dyDescent="0.25">
      <c r="A931" s="5">
        <v>2493</v>
      </c>
      <c r="B931" s="6">
        <v>12</v>
      </c>
      <c r="C931" s="5" t="s">
        <v>888</v>
      </c>
      <c r="D931" s="6"/>
      <c r="E931"/>
    </row>
    <row r="932" spans="1:5" x14ac:dyDescent="0.25">
      <c r="A932" s="5">
        <v>2503</v>
      </c>
      <c r="B932" s="6">
        <v>10</v>
      </c>
      <c r="C932" s="5" t="s">
        <v>889</v>
      </c>
      <c r="D932" s="6">
        <v>5</v>
      </c>
      <c r="E932"/>
    </row>
    <row r="933" spans="1:5" x14ac:dyDescent="0.25">
      <c r="A933" s="5">
        <v>2501</v>
      </c>
      <c r="B933" s="6">
        <v>18</v>
      </c>
      <c r="C933" s="5" t="s">
        <v>890</v>
      </c>
      <c r="D933" s="6"/>
      <c r="E933"/>
    </row>
    <row r="934" spans="1:5" x14ac:dyDescent="0.25">
      <c r="A934" s="5">
        <v>2513</v>
      </c>
      <c r="B934" s="6">
        <v>20</v>
      </c>
      <c r="C934" s="5" t="s">
        <v>891</v>
      </c>
      <c r="D934" s="6"/>
      <c r="E934"/>
    </row>
    <row r="935" spans="1:5" x14ac:dyDescent="0.25">
      <c r="A935" s="5">
        <v>2511</v>
      </c>
      <c r="B935" s="6">
        <v>14</v>
      </c>
      <c r="C935" s="5" t="s">
        <v>892</v>
      </c>
      <c r="D935" s="6">
        <f>14/4</f>
        <v>3.5</v>
      </c>
      <c r="E935"/>
    </row>
    <row r="936" spans="1:5" x14ac:dyDescent="0.25">
      <c r="A936" s="5">
        <v>2518</v>
      </c>
      <c r="B936" s="6">
        <v>20</v>
      </c>
      <c r="C936" s="5" t="s">
        <v>893</v>
      </c>
      <c r="D936" s="6">
        <v>1</v>
      </c>
      <c r="E936"/>
    </row>
    <row r="937" spans="1:5" x14ac:dyDescent="0.25">
      <c r="A937" s="5">
        <v>2512</v>
      </c>
      <c r="B937" s="6">
        <v>12</v>
      </c>
      <c r="C937" s="5" t="s">
        <v>894</v>
      </c>
      <c r="D937" s="6">
        <v>2</v>
      </c>
      <c r="E937"/>
    </row>
    <row r="938" spans="1:5" x14ac:dyDescent="0.25">
      <c r="A938" s="5">
        <v>2466</v>
      </c>
      <c r="B938" s="6">
        <v>3</v>
      </c>
      <c r="C938" s="5" t="s">
        <v>790</v>
      </c>
      <c r="D938" s="6"/>
      <c r="E938"/>
    </row>
    <row r="939" spans="1:5" x14ac:dyDescent="0.25">
      <c r="A939" s="5">
        <v>2517</v>
      </c>
      <c r="B939" s="6">
        <v>18</v>
      </c>
      <c r="C939" s="5" t="s">
        <v>895</v>
      </c>
      <c r="D939" s="6">
        <v>1</v>
      </c>
      <c r="E939"/>
    </row>
    <row r="940" spans="1:5" x14ac:dyDescent="0.25">
      <c r="A940" s="5">
        <v>2458</v>
      </c>
      <c r="B940" s="6">
        <v>12</v>
      </c>
      <c r="C940" s="5" t="s">
        <v>896</v>
      </c>
      <c r="D940" s="6"/>
      <c r="E940"/>
    </row>
    <row r="941" spans="1:5" x14ac:dyDescent="0.25">
      <c r="A941" s="5">
        <v>2462</v>
      </c>
      <c r="B941" s="6">
        <v>6</v>
      </c>
      <c r="C941" s="5" t="s">
        <v>897</v>
      </c>
      <c r="D941" s="6"/>
      <c r="E941"/>
    </row>
    <row r="942" spans="1:5" x14ac:dyDescent="0.25">
      <c r="A942" s="5">
        <v>2481</v>
      </c>
      <c r="B942" s="6">
        <v>10</v>
      </c>
      <c r="C942" s="5" t="s">
        <v>898</v>
      </c>
      <c r="D942" s="6">
        <v>0.5</v>
      </c>
      <c r="E942"/>
    </row>
    <row r="943" spans="1:5" x14ac:dyDescent="0.25">
      <c r="A943" s="5">
        <v>1242</v>
      </c>
      <c r="B943" s="6">
        <v>20</v>
      </c>
      <c r="C943" s="5" t="s">
        <v>899</v>
      </c>
      <c r="D943" s="6">
        <v>1</v>
      </c>
      <c r="E943"/>
    </row>
    <row r="944" spans="1:5" x14ac:dyDescent="0.25">
      <c r="A944" s="5">
        <v>2443</v>
      </c>
      <c r="B944" s="6">
        <v>4.8</v>
      </c>
      <c r="C944" s="5" t="s">
        <v>900</v>
      </c>
      <c r="D944" s="6">
        <f>4.8/12</f>
        <v>0.39999999999999997</v>
      </c>
      <c r="E944"/>
    </row>
    <row r="945" spans="1:5" x14ac:dyDescent="0.25">
      <c r="A945" s="5">
        <v>2514</v>
      </c>
      <c r="B945" s="6">
        <v>6</v>
      </c>
      <c r="C945" s="5" t="s">
        <v>901</v>
      </c>
      <c r="D945" s="6"/>
      <c r="E945"/>
    </row>
    <row r="946" spans="1:5" x14ac:dyDescent="0.25">
      <c r="A946" s="5">
        <v>2515</v>
      </c>
      <c r="B946" s="6">
        <v>6</v>
      </c>
      <c r="C946" s="5" t="s">
        <v>902</v>
      </c>
      <c r="D946" s="6"/>
      <c r="E946"/>
    </row>
    <row r="947" spans="1:5" x14ac:dyDescent="0.25">
      <c r="A947" s="5">
        <v>2507</v>
      </c>
      <c r="B947" s="6">
        <v>6</v>
      </c>
      <c r="C947" s="5" t="s">
        <v>903</v>
      </c>
      <c r="D947" s="6"/>
      <c r="E947"/>
    </row>
    <row r="948" spans="1:5" x14ac:dyDescent="0.25">
      <c r="A948" s="5">
        <v>2508</v>
      </c>
      <c r="B948" s="6">
        <v>6</v>
      </c>
      <c r="C948" s="5" t="s">
        <v>904</v>
      </c>
      <c r="D948" s="6"/>
      <c r="E948"/>
    </row>
    <row r="949" spans="1:5" x14ac:dyDescent="0.25">
      <c r="A949" s="5">
        <v>2492</v>
      </c>
      <c r="B949" s="6">
        <v>9.6</v>
      </c>
      <c r="C949" s="5" t="s">
        <v>905</v>
      </c>
      <c r="D949" s="6">
        <v>0.4</v>
      </c>
      <c r="E949"/>
    </row>
    <row r="950" spans="1:5" x14ac:dyDescent="0.25">
      <c r="A950" s="5">
        <v>2480</v>
      </c>
      <c r="B950" s="6">
        <v>15</v>
      </c>
      <c r="C950" s="5" t="s">
        <v>906</v>
      </c>
      <c r="D950" s="6"/>
      <c r="E950"/>
    </row>
    <row r="951" spans="1:5" x14ac:dyDescent="0.25">
      <c r="A951" s="5">
        <v>2520</v>
      </c>
      <c r="B951" s="6">
        <v>12</v>
      </c>
      <c r="C951" s="5" t="s">
        <v>907</v>
      </c>
      <c r="D951" s="6">
        <v>1</v>
      </c>
      <c r="E951"/>
    </row>
    <row r="952" spans="1:5" x14ac:dyDescent="0.25">
      <c r="A952" s="5">
        <v>2525</v>
      </c>
      <c r="B952" s="6">
        <v>12</v>
      </c>
      <c r="C952" s="5" t="s">
        <v>908</v>
      </c>
      <c r="D952" s="6">
        <v>1</v>
      </c>
      <c r="E952"/>
    </row>
    <row r="953" spans="1:5" x14ac:dyDescent="0.25">
      <c r="A953" s="5">
        <v>2529</v>
      </c>
      <c r="B953" s="6">
        <v>12</v>
      </c>
      <c r="C953" s="5" t="s">
        <v>909</v>
      </c>
      <c r="D953" s="6"/>
      <c r="E953"/>
    </row>
    <row r="954" spans="1:5" x14ac:dyDescent="0.25">
      <c r="A954" s="5">
        <v>2390</v>
      </c>
      <c r="B954" s="6">
        <v>4.32</v>
      </c>
      <c r="C954" s="5" t="s">
        <v>391</v>
      </c>
      <c r="D954" s="6"/>
      <c r="E954"/>
    </row>
    <row r="955" spans="1:5" x14ac:dyDescent="0.25">
      <c r="A955" s="5">
        <v>2531</v>
      </c>
      <c r="B955" s="6">
        <v>27</v>
      </c>
      <c r="C955" s="5" t="s">
        <v>910</v>
      </c>
      <c r="D955" s="6"/>
      <c r="E955"/>
    </row>
    <row r="956" spans="1:5" x14ac:dyDescent="0.25">
      <c r="A956" s="5">
        <v>2528</v>
      </c>
      <c r="B956" s="6">
        <v>9</v>
      </c>
      <c r="C956" s="5" t="s">
        <v>911</v>
      </c>
      <c r="D956" s="6">
        <v>1</v>
      </c>
      <c r="E956"/>
    </row>
    <row r="957" spans="1:5" x14ac:dyDescent="0.25">
      <c r="A957" s="5">
        <v>2532</v>
      </c>
      <c r="B957" s="6">
        <v>10.8</v>
      </c>
      <c r="C957" s="5" t="s">
        <v>912</v>
      </c>
      <c r="D957" s="6">
        <v>0.9</v>
      </c>
      <c r="E957"/>
    </row>
    <row r="958" spans="1:5" x14ac:dyDescent="0.25">
      <c r="A958" s="5">
        <v>2451</v>
      </c>
      <c r="B958" s="6">
        <v>10</v>
      </c>
      <c r="C958" s="5" t="s">
        <v>913</v>
      </c>
      <c r="D958" s="6">
        <v>0.4</v>
      </c>
      <c r="E958"/>
    </row>
    <row r="959" spans="1:5" x14ac:dyDescent="0.25">
      <c r="A959" s="5">
        <v>2534</v>
      </c>
      <c r="B959" s="6">
        <v>15.45</v>
      </c>
      <c r="C959" s="5" t="s">
        <v>914</v>
      </c>
      <c r="D959" s="6">
        <f>15.45/4</f>
        <v>3.8624999999999998</v>
      </c>
      <c r="E959"/>
    </row>
    <row r="960" spans="1:5" x14ac:dyDescent="0.25">
      <c r="A960" s="5">
        <v>2538</v>
      </c>
      <c r="B960" s="6">
        <v>12</v>
      </c>
      <c r="C960" s="5" t="s">
        <v>915</v>
      </c>
      <c r="D960" s="6"/>
      <c r="E960"/>
    </row>
    <row r="961" spans="1:5" x14ac:dyDescent="0.25">
      <c r="A961" s="5">
        <v>2537</v>
      </c>
      <c r="B961" s="6">
        <v>12</v>
      </c>
      <c r="C961" s="5" t="s">
        <v>916</v>
      </c>
      <c r="D961" s="6"/>
      <c r="E961"/>
    </row>
    <row r="962" spans="1:5" x14ac:dyDescent="0.25">
      <c r="A962" s="5">
        <v>2536</v>
      </c>
      <c r="B962" s="6">
        <v>19</v>
      </c>
      <c r="C962" s="5" t="s">
        <v>917</v>
      </c>
      <c r="D962" s="6"/>
      <c r="E962"/>
    </row>
    <row r="963" spans="1:5" x14ac:dyDescent="0.25">
      <c r="A963" s="5">
        <v>2524</v>
      </c>
      <c r="B963" s="6">
        <v>18</v>
      </c>
      <c r="C963" s="5" t="s">
        <v>918</v>
      </c>
      <c r="D963" s="6"/>
      <c r="E963"/>
    </row>
    <row r="964" spans="1:5" x14ac:dyDescent="0.25">
      <c r="A964" s="5">
        <v>2543</v>
      </c>
      <c r="B964" s="6">
        <v>10</v>
      </c>
      <c r="C964" s="5" t="s">
        <v>919</v>
      </c>
      <c r="D964" s="6">
        <v>0.5</v>
      </c>
      <c r="E964"/>
    </row>
    <row r="965" spans="1:5" x14ac:dyDescent="0.25">
      <c r="A965" s="5">
        <v>2526</v>
      </c>
      <c r="B965" s="6">
        <v>6</v>
      </c>
      <c r="C965" s="5" t="s">
        <v>920</v>
      </c>
      <c r="D965" s="6"/>
      <c r="E965"/>
    </row>
    <row r="966" spans="1:5" x14ac:dyDescent="0.25">
      <c r="A966" s="5">
        <v>2349</v>
      </c>
      <c r="B966" s="6">
        <v>25</v>
      </c>
      <c r="C966" s="5" t="s">
        <v>921</v>
      </c>
      <c r="D966" s="6">
        <v>1</v>
      </c>
      <c r="E966"/>
    </row>
    <row r="967" spans="1:5" x14ac:dyDescent="0.25">
      <c r="A967" s="5">
        <v>2542</v>
      </c>
      <c r="B967" s="6">
        <v>7</v>
      </c>
      <c r="C967" s="5" t="s">
        <v>922</v>
      </c>
      <c r="D967" s="6">
        <v>0.5</v>
      </c>
      <c r="E967"/>
    </row>
    <row r="968" spans="1:5" x14ac:dyDescent="0.25">
      <c r="A968" s="5">
        <v>2442</v>
      </c>
      <c r="B968" s="6">
        <v>10</v>
      </c>
      <c r="C968" s="5" t="s">
        <v>923</v>
      </c>
      <c r="D968" s="6">
        <v>5</v>
      </c>
      <c r="E968"/>
    </row>
    <row r="969" spans="1:5" x14ac:dyDescent="0.25">
      <c r="A969" s="5">
        <v>2530</v>
      </c>
      <c r="B969" s="6">
        <v>8</v>
      </c>
      <c r="C969" s="5" t="s">
        <v>924</v>
      </c>
      <c r="D969" s="6"/>
      <c r="E969"/>
    </row>
    <row r="970" spans="1:5" x14ac:dyDescent="0.25">
      <c r="A970" s="5">
        <v>2523</v>
      </c>
      <c r="B970" s="6">
        <v>9</v>
      </c>
      <c r="C970" s="5" t="s">
        <v>925</v>
      </c>
      <c r="D970" s="6">
        <v>1</v>
      </c>
      <c r="E970"/>
    </row>
    <row r="971" spans="1:5" x14ac:dyDescent="0.25">
      <c r="A971" s="5">
        <v>2499</v>
      </c>
      <c r="B971" s="6">
        <v>10</v>
      </c>
      <c r="C971" s="5" t="s">
        <v>926</v>
      </c>
      <c r="D971" s="6"/>
      <c r="E971"/>
    </row>
    <row r="972" spans="1:5" x14ac:dyDescent="0.25">
      <c r="A972" s="5">
        <v>2521</v>
      </c>
      <c r="B972" s="6">
        <v>4.8</v>
      </c>
      <c r="C972" s="5" t="s">
        <v>927</v>
      </c>
      <c r="D972" s="6">
        <v>0.4</v>
      </c>
      <c r="E972"/>
    </row>
    <row r="973" spans="1:5" x14ac:dyDescent="0.25">
      <c r="A973" s="5">
        <v>2555</v>
      </c>
      <c r="B973" s="6">
        <v>15</v>
      </c>
      <c r="C973" s="5" t="s">
        <v>928</v>
      </c>
      <c r="D973" s="6"/>
      <c r="E973"/>
    </row>
    <row r="974" spans="1:5" x14ac:dyDescent="0.25">
      <c r="A974" s="5">
        <v>2572</v>
      </c>
      <c r="B974" s="6">
        <v>24</v>
      </c>
      <c r="C974" s="5" t="s">
        <v>929</v>
      </c>
      <c r="D974" s="6">
        <v>1</v>
      </c>
      <c r="E974"/>
    </row>
    <row r="975" spans="1:5" x14ac:dyDescent="0.25">
      <c r="A975" s="5">
        <v>2569</v>
      </c>
      <c r="B975" s="6">
        <v>24</v>
      </c>
      <c r="C975" s="5" t="s">
        <v>930</v>
      </c>
      <c r="D975" s="6">
        <v>1</v>
      </c>
      <c r="E975"/>
    </row>
    <row r="976" spans="1:5" x14ac:dyDescent="0.25">
      <c r="A976" s="5">
        <v>2571</v>
      </c>
      <c r="B976" s="6">
        <v>24</v>
      </c>
      <c r="C976" s="5" t="s">
        <v>931</v>
      </c>
      <c r="D976" s="6">
        <v>1</v>
      </c>
      <c r="E976"/>
    </row>
    <row r="977" spans="1:5" x14ac:dyDescent="0.25">
      <c r="A977" s="5">
        <v>2570</v>
      </c>
      <c r="B977" s="6">
        <v>24</v>
      </c>
      <c r="C977" s="5" t="s">
        <v>932</v>
      </c>
      <c r="D977" s="6">
        <v>1</v>
      </c>
      <c r="E977"/>
    </row>
    <row r="978" spans="1:5" x14ac:dyDescent="0.25">
      <c r="A978" s="5">
        <v>2580</v>
      </c>
      <c r="B978" s="6">
        <v>6</v>
      </c>
      <c r="C978" s="5" t="s">
        <v>933</v>
      </c>
      <c r="D978" s="6">
        <v>1</v>
      </c>
      <c r="E978"/>
    </row>
    <row r="979" spans="1:5" x14ac:dyDescent="0.25">
      <c r="A979" s="5">
        <v>2579</v>
      </c>
      <c r="B979" s="6">
        <v>6</v>
      </c>
      <c r="C979" s="5" t="s">
        <v>934</v>
      </c>
      <c r="D979" s="6">
        <v>0.4</v>
      </c>
      <c r="E979"/>
    </row>
    <row r="980" spans="1:5" x14ac:dyDescent="0.25">
      <c r="A980" s="5">
        <v>2548</v>
      </c>
      <c r="B980" s="6">
        <v>18</v>
      </c>
      <c r="C980" s="5" t="s">
        <v>935</v>
      </c>
      <c r="D980" s="6">
        <v>1</v>
      </c>
      <c r="E980"/>
    </row>
    <row r="981" spans="1:5" x14ac:dyDescent="0.25">
      <c r="A981" s="5">
        <v>2556</v>
      </c>
      <c r="B981" s="6">
        <v>10.5</v>
      </c>
      <c r="C981" s="5" t="s">
        <v>936</v>
      </c>
      <c r="D981" s="6">
        <v>0.75</v>
      </c>
      <c r="E981"/>
    </row>
    <row r="982" spans="1:5" x14ac:dyDescent="0.25">
      <c r="A982" s="5">
        <v>2578</v>
      </c>
      <c r="B982" s="6">
        <v>6</v>
      </c>
      <c r="C982" s="5" t="s">
        <v>937</v>
      </c>
      <c r="D982" s="6">
        <v>0.4</v>
      </c>
      <c r="E982"/>
    </row>
    <row r="983" spans="1:5" x14ac:dyDescent="0.25">
      <c r="A983" s="5">
        <v>2476</v>
      </c>
      <c r="B983" s="6">
        <v>2.61</v>
      </c>
      <c r="C983" s="5" t="s">
        <v>938</v>
      </c>
      <c r="D983" s="6">
        <f>2.61/18</f>
        <v>0.14499999999999999</v>
      </c>
      <c r="E983"/>
    </row>
    <row r="984" spans="1:5" x14ac:dyDescent="0.25">
      <c r="A984" s="5">
        <v>2467</v>
      </c>
      <c r="B984" s="6">
        <v>2.61</v>
      </c>
      <c r="C984" s="5" t="s">
        <v>939</v>
      </c>
      <c r="D984" s="6"/>
      <c r="E984"/>
    </row>
    <row r="985" spans="1:5" x14ac:dyDescent="0.25">
      <c r="A985" s="5">
        <v>1405</v>
      </c>
      <c r="B985" s="6">
        <v>72</v>
      </c>
      <c r="C985" s="5" t="s">
        <v>940</v>
      </c>
      <c r="D985" s="6">
        <v>1</v>
      </c>
      <c r="E985"/>
    </row>
    <row r="986" spans="1:5" x14ac:dyDescent="0.25">
      <c r="A986" s="5">
        <v>2544</v>
      </c>
      <c r="B986" s="6">
        <v>25</v>
      </c>
      <c r="C986" s="5" t="s">
        <v>941</v>
      </c>
      <c r="D986" s="6"/>
      <c r="E986"/>
    </row>
    <row r="987" spans="1:5" x14ac:dyDescent="0.25">
      <c r="A987" s="5">
        <v>2504</v>
      </c>
      <c r="B987" s="6">
        <v>4</v>
      </c>
      <c r="C987" s="5" t="s">
        <v>942</v>
      </c>
      <c r="D987" s="6">
        <v>0.4</v>
      </c>
      <c r="E987"/>
    </row>
    <row r="988" spans="1:5" x14ac:dyDescent="0.25">
      <c r="A988" s="5">
        <v>2558</v>
      </c>
      <c r="B988" s="6">
        <v>22</v>
      </c>
      <c r="C988" s="5" t="s">
        <v>943</v>
      </c>
      <c r="D988" s="6">
        <v>1</v>
      </c>
      <c r="E988"/>
    </row>
    <row r="989" spans="1:5" x14ac:dyDescent="0.25">
      <c r="A989" s="5">
        <v>2489</v>
      </c>
      <c r="B989" s="6">
        <v>6</v>
      </c>
      <c r="C989" s="5" t="s">
        <v>944</v>
      </c>
      <c r="D989" s="6">
        <v>0.5</v>
      </c>
      <c r="E989"/>
    </row>
    <row r="990" spans="1:5" x14ac:dyDescent="0.25">
      <c r="A990" s="5">
        <v>2574</v>
      </c>
      <c r="B990" s="6">
        <v>10.5</v>
      </c>
      <c r="C990" s="5" t="s">
        <v>945</v>
      </c>
      <c r="D990" s="6">
        <v>0.75</v>
      </c>
      <c r="E990"/>
    </row>
    <row r="991" spans="1:5" x14ac:dyDescent="0.25">
      <c r="A991" s="5">
        <v>2573</v>
      </c>
      <c r="B991" s="6">
        <v>10</v>
      </c>
      <c r="C991" s="5" t="s">
        <v>946</v>
      </c>
      <c r="D991" s="6">
        <v>2.5</v>
      </c>
      <c r="E991"/>
    </row>
    <row r="992" spans="1:5" x14ac:dyDescent="0.25">
      <c r="A992" s="5">
        <v>2569</v>
      </c>
      <c r="B992" s="6">
        <v>15</v>
      </c>
      <c r="C992" s="5" t="s">
        <v>947</v>
      </c>
      <c r="D992" s="6">
        <v>1</v>
      </c>
      <c r="E992"/>
    </row>
    <row r="993" spans="1:5" x14ac:dyDescent="0.25">
      <c r="A993" s="5">
        <v>2566</v>
      </c>
      <c r="B993" s="6">
        <v>15</v>
      </c>
      <c r="C993" s="5" t="s">
        <v>948</v>
      </c>
      <c r="D993" s="6">
        <v>1</v>
      </c>
      <c r="E993"/>
    </row>
    <row r="994" spans="1:5" x14ac:dyDescent="0.25">
      <c r="A994" s="5">
        <v>2565</v>
      </c>
      <c r="B994" s="6">
        <v>12</v>
      </c>
      <c r="C994" s="5" t="s">
        <v>949</v>
      </c>
      <c r="D994" s="6">
        <v>1</v>
      </c>
      <c r="E994"/>
    </row>
    <row r="995" spans="1:5" x14ac:dyDescent="0.25">
      <c r="A995" s="5">
        <v>2486</v>
      </c>
      <c r="B995" s="6">
        <v>6</v>
      </c>
      <c r="C995" s="5" t="s">
        <v>950</v>
      </c>
      <c r="D995" s="6">
        <v>1</v>
      </c>
      <c r="E995"/>
    </row>
    <row r="996" spans="1:5" x14ac:dyDescent="0.25">
      <c r="A996" s="5">
        <v>2593</v>
      </c>
      <c r="B996" s="6">
        <v>18</v>
      </c>
      <c r="C996" s="5" t="s">
        <v>951</v>
      </c>
      <c r="D996" s="6"/>
      <c r="E996"/>
    </row>
    <row r="997" spans="1:5" x14ac:dyDescent="0.25">
      <c r="A997" s="5">
        <v>2533</v>
      </c>
      <c r="B997" s="6">
        <v>12</v>
      </c>
      <c r="C997" s="5" t="s">
        <v>952</v>
      </c>
      <c r="D997" s="6">
        <v>1</v>
      </c>
      <c r="E997"/>
    </row>
    <row r="998" spans="1:5" x14ac:dyDescent="0.25">
      <c r="A998" s="5">
        <v>2592</v>
      </c>
      <c r="B998" s="6">
        <v>20</v>
      </c>
      <c r="C998" s="5" t="s">
        <v>953</v>
      </c>
      <c r="D998" s="6"/>
      <c r="E998"/>
    </row>
    <row r="999" spans="1:5" x14ac:dyDescent="0.25">
      <c r="A999" s="5">
        <v>2583</v>
      </c>
      <c r="B999" s="6">
        <v>24</v>
      </c>
      <c r="C999" s="5" t="s">
        <v>954</v>
      </c>
      <c r="D999" s="6">
        <v>1</v>
      </c>
      <c r="E999"/>
    </row>
    <row r="1000" spans="1:5" x14ac:dyDescent="0.25">
      <c r="A1000" s="5">
        <v>2553</v>
      </c>
      <c r="B1000" s="6">
        <v>1</v>
      </c>
      <c r="C1000" s="5" t="s">
        <v>955</v>
      </c>
      <c r="D1000" s="6"/>
      <c r="E1000"/>
    </row>
    <row r="1001" spans="1:5" x14ac:dyDescent="0.25">
      <c r="A1001" s="5">
        <v>2567</v>
      </c>
      <c r="B1001" s="6">
        <v>24</v>
      </c>
      <c r="C1001" s="5" t="s">
        <v>956</v>
      </c>
      <c r="D1001" s="6">
        <v>1</v>
      </c>
      <c r="E1001"/>
    </row>
    <row r="1002" spans="1:5" x14ac:dyDescent="0.25">
      <c r="A1002" s="5">
        <v>2568</v>
      </c>
      <c r="B1002" s="6">
        <v>24</v>
      </c>
      <c r="C1002" s="5" t="s">
        <v>957</v>
      </c>
      <c r="D1002" s="6">
        <v>1</v>
      </c>
      <c r="E1002"/>
    </row>
    <row r="1003" spans="1:5" x14ac:dyDescent="0.25">
      <c r="A1003" s="5">
        <v>2595</v>
      </c>
      <c r="B1003" s="6">
        <v>12</v>
      </c>
      <c r="C1003" s="5" t="s">
        <v>958</v>
      </c>
      <c r="D1003" s="6">
        <v>1</v>
      </c>
      <c r="E1003"/>
    </row>
    <row r="1004" spans="1:5" x14ac:dyDescent="0.25">
      <c r="A1004" s="5">
        <v>1866</v>
      </c>
      <c r="B1004" s="6">
        <v>15</v>
      </c>
      <c r="C1004" s="5" t="s">
        <v>959</v>
      </c>
      <c r="D1004" s="6">
        <v>0.5</v>
      </c>
      <c r="E1004"/>
    </row>
    <row r="1005" spans="1:5" x14ac:dyDescent="0.25">
      <c r="A1005" s="5">
        <v>2582</v>
      </c>
      <c r="B1005" s="6">
        <v>12</v>
      </c>
      <c r="C1005" s="5" t="s">
        <v>960</v>
      </c>
      <c r="D1005" s="6">
        <v>1</v>
      </c>
      <c r="E1005"/>
    </row>
    <row r="1006" spans="1:5" x14ac:dyDescent="0.25">
      <c r="A1006" s="5">
        <v>1476</v>
      </c>
      <c r="B1006" s="6">
        <v>20</v>
      </c>
      <c r="C1006" s="5" t="s">
        <v>961</v>
      </c>
      <c r="D1006" s="6"/>
      <c r="E1006"/>
    </row>
    <row r="1007" spans="1:5" x14ac:dyDescent="0.25">
      <c r="A1007" s="5">
        <v>2602</v>
      </c>
      <c r="B1007" s="6">
        <v>18</v>
      </c>
      <c r="C1007" s="5" t="s">
        <v>962</v>
      </c>
      <c r="D1007" s="6"/>
      <c r="E1007"/>
    </row>
    <row r="1008" spans="1:5" x14ac:dyDescent="0.25">
      <c r="A1008" s="5">
        <v>2603</v>
      </c>
      <c r="B1008" s="6">
        <v>20</v>
      </c>
      <c r="C1008" s="5" t="s">
        <v>963</v>
      </c>
      <c r="D1008" s="6"/>
      <c r="E1008"/>
    </row>
    <row r="1009" spans="1:5" x14ac:dyDescent="0.25">
      <c r="A1009" s="5">
        <v>2604</v>
      </c>
      <c r="B1009" s="6">
        <v>20</v>
      </c>
      <c r="C1009" s="5" t="s">
        <v>964</v>
      </c>
      <c r="D1009" s="6"/>
      <c r="E1009"/>
    </row>
    <row r="1010" spans="1:5" x14ac:dyDescent="0.25">
      <c r="A1010" s="5">
        <v>2599</v>
      </c>
      <c r="B1010" s="6">
        <v>20</v>
      </c>
      <c r="C1010" s="5" t="s">
        <v>965</v>
      </c>
      <c r="D1010" s="6"/>
      <c r="E1010"/>
    </row>
    <row r="1011" spans="1:5" x14ac:dyDescent="0.25">
      <c r="A1011" s="5">
        <v>2452</v>
      </c>
      <c r="B1011" s="6">
        <v>6</v>
      </c>
      <c r="C1011" s="5" t="s">
        <v>966</v>
      </c>
      <c r="D1011" s="6"/>
      <c r="E1011"/>
    </row>
    <row r="1012" spans="1:5" x14ac:dyDescent="0.25">
      <c r="A1012" s="5">
        <v>2596</v>
      </c>
      <c r="B1012" s="6">
        <v>10</v>
      </c>
      <c r="C1012" s="5" t="s">
        <v>967</v>
      </c>
      <c r="D1012" s="6">
        <v>0.5</v>
      </c>
      <c r="E1012"/>
    </row>
    <row r="1013" spans="1:5" x14ac:dyDescent="0.25">
      <c r="A1013" s="5">
        <v>2597</v>
      </c>
      <c r="B1013" s="6">
        <v>10</v>
      </c>
      <c r="C1013" s="5" t="s">
        <v>968</v>
      </c>
      <c r="D1013" s="6">
        <v>0.5</v>
      </c>
      <c r="E1013"/>
    </row>
    <row r="1014" spans="1:5" x14ac:dyDescent="0.25">
      <c r="A1014" s="5">
        <v>2606</v>
      </c>
      <c r="B1014" s="6">
        <v>8</v>
      </c>
      <c r="C1014" s="5" t="s">
        <v>969</v>
      </c>
      <c r="D1014" s="6">
        <v>1</v>
      </c>
      <c r="E1014"/>
    </row>
    <row r="1015" spans="1:5" x14ac:dyDescent="0.25">
      <c r="A1015" s="5">
        <v>2585</v>
      </c>
      <c r="B1015" s="6">
        <v>24</v>
      </c>
      <c r="C1015" s="5" t="s">
        <v>970</v>
      </c>
      <c r="D1015" s="6">
        <v>1</v>
      </c>
      <c r="E1015"/>
    </row>
    <row r="1016" spans="1:5" x14ac:dyDescent="0.25">
      <c r="A1016" s="5">
        <v>2586</v>
      </c>
      <c r="B1016" s="6">
        <v>24</v>
      </c>
      <c r="C1016" s="5" t="s">
        <v>971</v>
      </c>
      <c r="D1016" s="6">
        <v>1</v>
      </c>
      <c r="E1016"/>
    </row>
    <row r="1017" spans="1:5" x14ac:dyDescent="0.25">
      <c r="A1017" s="5">
        <v>2588</v>
      </c>
      <c r="B1017" s="6">
        <v>8</v>
      </c>
      <c r="C1017" s="5" t="s">
        <v>972</v>
      </c>
      <c r="D1017" s="6">
        <v>1</v>
      </c>
      <c r="E1017"/>
    </row>
    <row r="1018" spans="1:5" x14ac:dyDescent="0.25">
      <c r="A1018" s="5">
        <v>2564</v>
      </c>
      <c r="B1018" s="6">
        <v>15</v>
      </c>
      <c r="C1018" s="5" t="s">
        <v>947</v>
      </c>
      <c r="D1018" s="6">
        <v>1</v>
      </c>
      <c r="E1018"/>
    </row>
    <row r="1019" spans="1:5" x14ac:dyDescent="0.25">
      <c r="A1019" s="5">
        <v>2598</v>
      </c>
      <c r="B1019" s="6">
        <v>10</v>
      </c>
      <c r="C1019" s="5" t="s">
        <v>973</v>
      </c>
      <c r="D1019" s="6">
        <v>1</v>
      </c>
      <c r="E1019"/>
    </row>
    <row r="1020" spans="1:5" x14ac:dyDescent="0.25">
      <c r="A1020" s="5">
        <v>2589</v>
      </c>
      <c r="B1020" s="6">
        <v>24</v>
      </c>
      <c r="C1020" s="5" t="s">
        <v>974</v>
      </c>
      <c r="D1020" s="6">
        <v>6</v>
      </c>
      <c r="E1020"/>
    </row>
    <row r="1021" spans="1:5" x14ac:dyDescent="0.25">
      <c r="A1021" s="5">
        <v>2621</v>
      </c>
      <c r="B1021" s="6">
        <v>20</v>
      </c>
      <c r="C1021" s="5" t="s">
        <v>975</v>
      </c>
      <c r="D1021" s="6">
        <v>5</v>
      </c>
      <c r="E1021"/>
    </row>
    <row r="1022" spans="1:5" x14ac:dyDescent="0.25">
      <c r="A1022" s="5">
        <v>2626</v>
      </c>
      <c r="B1022" s="6">
        <v>12</v>
      </c>
      <c r="C1022" s="5" t="s">
        <v>976</v>
      </c>
      <c r="D1022" s="6">
        <v>1</v>
      </c>
      <c r="E1022"/>
    </row>
    <row r="1023" spans="1:5" x14ac:dyDescent="0.25">
      <c r="A1023" s="5">
        <v>2628</v>
      </c>
      <c r="B1023" s="6">
        <v>4.8</v>
      </c>
      <c r="C1023" s="5" t="s">
        <v>977</v>
      </c>
      <c r="D1023" s="6">
        <v>0.3</v>
      </c>
      <c r="E1023"/>
    </row>
    <row r="1024" spans="1:5" x14ac:dyDescent="0.25">
      <c r="A1024" s="5">
        <v>2444</v>
      </c>
      <c r="B1024" s="6">
        <v>2.75</v>
      </c>
      <c r="C1024" s="5" t="s">
        <v>978</v>
      </c>
      <c r="D1024" s="6"/>
      <c r="E1024"/>
    </row>
    <row r="1025" spans="1:5" x14ac:dyDescent="0.25">
      <c r="A1025" s="5">
        <v>2640</v>
      </c>
      <c r="B1025" s="6">
        <v>6</v>
      </c>
      <c r="C1025" s="5" t="s">
        <v>979</v>
      </c>
      <c r="D1025" s="6"/>
      <c r="E1025"/>
    </row>
    <row r="1026" spans="1:5" x14ac:dyDescent="0.25">
      <c r="A1026" s="5">
        <v>2620</v>
      </c>
      <c r="B1026" s="6">
        <v>12</v>
      </c>
      <c r="C1026" s="5" t="s">
        <v>980</v>
      </c>
      <c r="D1026" s="6"/>
      <c r="E1026"/>
    </row>
    <row r="1027" spans="1:5" x14ac:dyDescent="0.25">
      <c r="A1027" s="5">
        <v>2627</v>
      </c>
      <c r="B1027" s="6">
        <v>5.16</v>
      </c>
      <c r="C1027" s="5" t="s">
        <v>981</v>
      </c>
      <c r="D1027" s="6"/>
      <c r="E1027"/>
    </row>
    <row r="1028" spans="1:5" x14ac:dyDescent="0.25">
      <c r="A1028" s="5">
        <v>2616</v>
      </c>
      <c r="B1028" s="6">
        <v>12</v>
      </c>
      <c r="C1028" s="5" t="s">
        <v>982</v>
      </c>
      <c r="D1028" s="6">
        <v>1</v>
      </c>
      <c r="E1028"/>
    </row>
    <row r="1029" spans="1:5" x14ac:dyDescent="0.25">
      <c r="A1029" s="5">
        <v>2660</v>
      </c>
      <c r="B1029" s="6">
        <v>20</v>
      </c>
      <c r="C1029" s="5" t="s">
        <v>983</v>
      </c>
      <c r="D1029" s="6">
        <v>1</v>
      </c>
      <c r="E1029"/>
    </row>
    <row r="1030" spans="1:5" x14ac:dyDescent="0.25">
      <c r="A1030" s="5">
        <v>2650</v>
      </c>
      <c r="B1030" s="6">
        <v>20</v>
      </c>
      <c r="C1030" s="5" t="s">
        <v>984</v>
      </c>
      <c r="D1030" s="6">
        <v>1</v>
      </c>
      <c r="E1030"/>
    </row>
    <row r="1031" spans="1:5" x14ac:dyDescent="0.25">
      <c r="A1031" s="5">
        <v>2648</v>
      </c>
      <c r="B1031" s="6">
        <v>50</v>
      </c>
      <c r="C1031" s="5" t="s">
        <v>985</v>
      </c>
      <c r="D1031" s="6">
        <v>1</v>
      </c>
      <c r="E1031"/>
    </row>
    <row r="1032" spans="1:5" x14ac:dyDescent="0.25">
      <c r="A1032" s="5">
        <v>2649</v>
      </c>
      <c r="B1032" s="6">
        <v>30</v>
      </c>
      <c r="C1032" s="5" t="s">
        <v>986</v>
      </c>
      <c r="D1032" s="6">
        <v>1</v>
      </c>
      <c r="E1032"/>
    </row>
    <row r="1033" spans="1:5" x14ac:dyDescent="0.25">
      <c r="A1033" s="5">
        <v>2668</v>
      </c>
      <c r="B1033" s="6">
        <v>10</v>
      </c>
      <c r="C1033" s="5" t="s">
        <v>987</v>
      </c>
      <c r="D1033" s="6">
        <v>0.4</v>
      </c>
      <c r="E1033"/>
    </row>
    <row r="1034" spans="1:5" x14ac:dyDescent="0.25">
      <c r="A1034" s="5">
        <v>2667</v>
      </c>
      <c r="B1034" s="6">
        <v>19.5</v>
      </c>
      <c r="C1034" s="5" t="s">
        <v>988</v>
      </c>
      <c r="D1034" s="6"/>
      <c r="E1034"/>
    </row>
    <row r="1035" spans="1:5" x14ac:dyDescent="0.25">
      <c r="A1035" s="5">
        <v>2646</v>
      </c>
      <c r="B1035" s="6">
        <v>12</v>
      </c>
      <c r="C1035" s="5" t="s">
        <v>989</v>
      </c>
      <c r="D1035" s="6">
        <v>1</v>
      </c>
      <c r="E1035"/>
    </row>
    <row r="1036" spans="1:5" x14ac:dyDescent="0.25">
      <c r="A1036" s="5">
        <v>2647</v>
      </c>
      <c r="B1036" s="6">
        <v>10.5</v>
      </c>
      <c r="C1036" s="5" t="s">
        <v>990</v>
      </c>
      <c r="D1036" s="6">
        <v>0.75</v>
      </c>
      <c r="E1036"/>
    </row>
    <row r="1037" spans="1:5" x14ac:dyDescent="0.25">
      <c r="A1037" s="5">
        <v>2638</v>
      </c>
      <c r="B1037" s="6">
        <v>12</v>
      </c>
      <c r="C1037" s="5" t="s">
        <v>991</v>
      </c>
      <c r="D1037" s="6">
        <v>1</v>
      </c>
      <c r="E1037"/>
    </row>
    <row r="1038" spans="1:5" x14ac:dyDescent="0.25">
      <c r="A1038" s="5">
        <v>2609</v>
      </c>
      <c r="B1038" s="6">
        <v>24</v>
      </c>
      <c r="C1038" s="5" t="s">
        <v>992</v>
      </c>
      <c r="D1038" s="6">
        <v>1</v>
      </c>
      <c r="E1038"/>
    </row>
    <row r="1039" spans="1:5" x14ac:dyDescent="0.25">
      <c r="A1039" s="5">
        <v>2629</v>
      </c>
      <c r="B1039" s="6">
        <v>20</v>
      </c>
      <c r="C1039" s="5" t="s">
        <v>993</v>
      </c>
      <c r="D1039" s="6"/>
      <c r="E1039"/>
    </row>
    <row r="1040" spans="1:5" x14ac:dyDescent="0.25">
      <c r="A1040" s="5">
        <v>2645</v>
      </c>
      <c r="B1040" s="6">
        <v>12</v>
      </c>
      <c r="C1040" s="5" t="s">
        <v>994</v>
      </c>
      <c r="D1040" s="6">
        <v>1</v>
      </c>
      <c r="E1040"/>
    </row>
    <row r="1041" spans="1:5" x14ac:dyDescent="0.25">
      <c r="A1041" s="5">
        <v>2610</v>
      </c>
      <c r="B1041" s="6">
        <v>24</v>
      </c>
      <c r="C1041" s="5" t="s">
        <v>995</v>
      </c>
      <c r="D1041" s="6">
        <v>1</v>
      </c>
      <c r="E1041"/>
    </row>
    <row r="1042" spans="1:5" x14ac:dyDescent="0.25">
      <c r="A1042" s="5">
        <v>2641</v>
      </c>
      <c r="B1042" s="6">
        <v>24</v>
      </c>
      <c r="C1042" s="5" t="s">
        <v>996</v>
      </c>
      <c r="D1042" s="6">
        <v>1</v>
      </c>
      <c r="E1042"/>
    </row>
    <row r="1043" spans="1:5" x14ac:dyDescent="0.25">
      <c r="A1043" s="5">
        <v>2630</v>
      </c>
      <c r="B1043" s="6">
        <v>24</v>
      </c>
      <c r="C1043" s="5" t="s">
        <v>970</v>
      </c>
      <c r="D1043" s="6">
        <v>1</v>
      </c>
      <c r="E1043"/>
    </row>
    <row r="1044" spans="1:5" x14ac:dyDescent="0.25">
      <c r="A1044" s="5">
        <v>2631</v>
      </c>
      <c r="B1044" s="6">
        <v>24</v>
      </c>
      <c r="C1044" s="5" t="s">
        <v>997</v>
      </c>
      <c r="D1044" s="6">
        <v>1</v>
      </c>
      <c r="E1044"/>
    </row>
    <row r="1045" spans="1:5" x14ac:dyDescent="0.25">
      <c r="A1045" s="5">
        <v>2652</v>
      </c>
      <c r="B1045" s="6">
        <v>30</v>
      </c>
      <c r="C1045" s="5" t="s">
        <v>998</v>
      </c>
      <c r="D1045" s="6">
        <v>1</v>
      </c>
      <c r="E1045"/>
    </row>
    <row r="1046" spans="1:5" x14ac:dyDescent="0.25">
      <c r="A1046" s="5">
        <v>2651</v>
      </c>
      <c r="B1046" s="6">
        <v>60</v>
      </c>
      <c r="C1046" s="5" t="s">
        <v>999</v>
      </c>
      <c r="D1046" s="6">
        <v>1</v>
      </c>
      <c r="E1046"/>
    </row>
    <row r="1047" spans="1:5" x14ac:dyDescent="0.25">
      <c r="A1047" s="5">
        <v>2587</v>
      </c>
      <c r="B1047" s="6">
        <v>12</v>
      </c>
      <c r="C1047" s="5" t="s">
        <v>1000</v>
      </c>
      <c r="D1047" s="6">
        <v>1</v>
      </c>
      <c r="E1047"/>
    </row>
    <row r="1048" spans="1:5" x14ac:dyDescent="0.25">
      <c r="A1048" s="5">
        <v>2615</v>
      </c>
      <c r="B1048" s="6">
        <v>24</v>
      </c>
      <c r="C1048" s="5" t="s">
        <v>1001</v>
      </c>
      <c r="D1048" s="6">
        <v>1</v>
      </c>
      <c r="E1048"/>
    </row>
    <row r="1049" spans="1:5" x14ac:dyDescent="0.25">
      <c r="A1049" s="5">
        <v>2632</v>
      </c>
      <c r="B1049" s="6">
        <v>6</v>
      </c>
      <c r="C1049" s="5" t="s">
        <v>1002</v>
      </c>
      <c r="D1049" s="6">
        <v>1</v>
      </c>
      <c r="E1049"/>
    </row>
    <row r="1050" spans="1:5" x14ac:dyDescent="0.25">
      <c r="A1050" s="5">
        <v>2642</v>
      </c>
      <c r="B1050" s="6">
        <v>24</v>
      </c>
      <c r="C1050" s="5" t="s">
        <v>1003</v>
      </c>
      <c r="D1050" s="6">
        <v>1</v>
      </c>
      <c r="E1050"/>
    </row>
    <row r="1051" spans="1:5" x14ac:dyDescent="0.25">
      <c r="A1051" s="5">
        <v>2662</v>
      </c>
      <c r="B1051" s="6">
        <v>8</v>
      </c>
      <c r="C1051" s="5" t="s">
        <v>1004</v>
      </c>
      <c r="D1051" s="6">
        <v>1</v>
      </c>
      <c r="E1051"/>
    </row>
    <row r="1052" spans="1:5" x14ac:dyDescent="0.25">
      <c r="A1052" s="5">
        <v>2661</v>
      </c>
      <c r="B1052" s="6">
        <v>8</v>
      </c>
      <c r="C1052" s="5" t="s">
        <v>1005</v>
      </c>
      <c r="D1052" s="6">
        <v>1</v>
      </c>
      <c r="E1052"/>
    </row>
    <row r="1053" spans="1:5" x14ac:dyDescent="0.25">
      <c r="A1053" s="5">
        <v>2577</v>
      </c>
      <c r="B1053" s="6">
        <v>5.0999999999999996</v>
      </c>
      <c r="C1053" s="5" t="s">
        <v>1006</v>
      </c>
      <c r="D1053" s="6">
        <v>2.5499999999999998</v>
      </c>
      <c r="E1053"/>
    </row>
    <row r="1054" spans="1:5" x14ac:dyDescent="0.25">
      <c r="A1054" s="5">
        <v>2613</v>
      </c>
      <c r="B1054" s="6">
        <v>24</v>
      </c>
      <c r="C1054" s="5" t="s">
        <v>1007</v>
      </c>
      <c r="D1054" s="6">
        <v>1</v>
      </c>
      <c r="E1054"/>
    </row>
    <row r="1055" spans="1:5" x14ac:dyDescent="0.25">
      <c r="A1055" s="5">
        <v>2614</v>
      </c>
      <c r="B1055" s="6">
        <v>24</v>
      </c>
      <c r="C1055" s="5" t="s">
        <v>1008</v>
      </c>
      <c r="D1055" s="6">
        <v>1</v>
      </c>
      <c r="E1055"/>
    </row>
    <row r="1056" spans="1:5" x14ac:dyDescent="0.25">
      <c r="A1056" s="5">
        <v>2460</v>
      </c>
      <c r="B1056" s="6">
        <v>5.52</v>
      </c>
      <c r="C1056" s="5" t="s">
        <v>1009</v>
      </c>
      <c r="D1056" s="6">
        <f>5.52/12</f>
        <v>0.45999999999999996</v>
      </c>
      <c r="E1056"/>
    </row>
    <row r="1057" spans="1:5" x14ac:dyDescent="0.25">
      <c r="A1057" s="5">
        <v>2643</v>
      </c>
      <c r="B1057" s="6">
        <v>24</v>
      </c>
      <c r="C1057" s="5" t="s">
        <v>1010</v>
      </c>
      <c r="D1057" s="6">
        <v>1</v>
      </c>
      <c r="E1057"/>
    </row>
    <row r="1058" spans="1:5" x14ac:dyDescent="0.25">
      <c r="A1058" s="5">
        <v>2666</v>
      </c>
      <c r="B1058" s="6">
        <v>4.05</v>
      </c>
      <c r="C1058" s="5" t="s">
        <v>1011</v>
      </c>
      <c r="D1058" s="6">
        <v>0.15</v>
      </c>
      <c r="E1058"/>
    </row>
    <row r="1059" spans="1:5" x14ac:dyDescent="0.25">
      <c r="A1059" s="5">
        <v>2637</v>
      </c>
      <c r="B1059" s="6">
        <v>24</v>
      </c>
      <c r="C1059" s="5" t="s">
        <v>1012</v>
      </c>
      <c r="D1059" s="6">
        <v>1</v>
      </c>
      <c r="E1059"/>
    </row>
    <row r="1060" spans="1:5" x14ac:dyDescent="0.25">
      <c r="A1060" s="5">
        <v>2655</v>
      </c>
      <c r="B1060" s="6">
        <v>4.8</v>
      </c>
      <c r="C1060" s="5" t="s">
        <v>1013</v>
      </c>
      <c r="D1060" s="6">
        <f>4.8/16</f>
        <v>0.3</v>
      </c>
      <c r="E1060"/>
    </row>
    <row r="1061" spans="1:5" x14ac:dyDescent="0.25">
      <c r="A1061" s="5">
        <v>2617</v>
      </c>
      <c r="B1061" s="6">
        <v>24</v>
      </c>
      <c r="C1061" s="5" t="s">
        <v>1014</v>
      </c>
      <c r="D1061" s="6">
        <v>6</v>
      </c>
      <c r="E1061"/>
    </row>
    <row r="1062" spans="1:5" x14ac:dyDescent="0.25">
      <c r="A1062" s="5">
        <v>2618</v>
      </c>
      <c r="B1062" s="6">
        <v>24</v>
      </c>
      <c r="C1062" s="5" t="s">
        <v>1015</v>
      </c>
      <c r="D1062" s="6">
        <v>6</v>
      </c>
      <c r="E1062"/>
    </row>
    <row r="1063" spans="1:5" x14ac:dyDescent="0.25">
      <c r="A1063" s="5">
        <v>2670</v>
      </c>
      <c r="B1063" s="6">
        <v>9.9</v>
      </c>
      <c r="C1063" s="5" t="s">
        <v>1016</v>
      </c>
      <c r="D1063" s="6">
        <v>1.1000000000000001</v>
      </c>
      <c r="E1063"/>
    </row>
    <row r="1064" spans="1:5" x14ac:dyDescent="0.25">
      <c r="A1064" s="5">
        <v>2677</v>
      </c>
      <c r="B1064" s="6">
        <v>12</v>
      </c>
      <c r="C1064" s="5" t="s">
        <v>1017</v>
      </c>
      <c r="D1064" s="6"/>
      <c r="E1064"/>
    </row>
    <row r="1065" spans="1:5" x14ac:dyDescent="0.25">
      <c r="A1065" s="5">
        <v>2669</v>
      </c>
      <c r="B1065" s="6">
        <v>10</v>
      </c>
      <c r="C1065" s="5" t="s">
        <v>1018</v>
      </c>
      <c r="D1065" s="6">
        <v>2.5</v>
      </c>
      <c r="E1065"/>
    </row>
    <row r="1066" spans="1:5" x14ac:dyDescent="0.25">
      <c r="A1066" s="5">
        <v>2676</v>
      </c>
      <c r="B1066" s="6">
        <v>10</v>
      </c>
      <c r="C1066" s="5" t="s">
        <v>1019</v>
      </c>
      <c r="D1066" s="6">
        <v>2.5</v>
      </c>
      <c r="E1066"/>
    </row>
    <row r="1067" spans="1:5" x14ac:dyDescent="0.25">
      <c r="A1067" s="5">
        <v>2671</v>
      </c>
      <c r="B1067" s="6">
        <v>27</v>
      </c>
      <c r="C1067" s="5" t="s">
        <v>1020</v>
      </c>
      <c r="D1067" s="6"/>
      <c r="E1067"/>
    </row>
    <row r="1068" spans="1:5" x14ac:dyDescent="0.25">
      <c r="A1068" s="5">
        <v>2678</v>
      </c>
      <c r="B1068" s="6">
        <v>5.4</v>
      </c>
      <c r="C1068" s="5" t="s">
        <v>1021</v>
      </c>
      <c r="D1068" s="6"/>
      <c r="E1068"/>
    </row>
    <row r="1069" spans="1:5" x14ac:dyDescent="0.25">
      <c r="A1069" s="5">
        <v>2633</v>
      </c>
      <c r="B1069" s="6">
        <v>4.8</v>
      </c>
      <c r="C1069" s="5" t="s">
        <v>1022</v>
      </c>
      <c r="D1069" s="6">
        <v>0.3</v>
      </c>
      <c r="E1069"/>
    </row>
    <row r="1070" spans="1:5" x14ac:dyDescent="0.25">
      <c r="A1070" s="5">
        <v>2680</v>
      </c>
      <c r="B1070" s="6">
        <v>20</v>
      </c>
      <c r="C1070" s="5" t="s">
        <v>1023</v>
      </c>
      <c r="D1070" s="6"/>
      <c r="E1070"/>
    </row>
    <row r="1071" spans="1:5" x14ac:dyDescent="0.25">
      <c r="A1071" s="5">
        <v>2681</v>
      </c>
      <c r="B1071" s="6">
        <v>20</v>
      </c>
      <c r="C1071" s="5" t="s">
        <v>1024</v>
      </c>
      <c r="D1071" s="6"/>
      <c r="E1071"/>
    </row>
    <row r="1072" spans="1:5" x14ac:dyDescent="0.25">
      <c r="A1072" s="5">
        <v>2636</v>
      </c>
      <c r="B1072" s="6">
        <v>18</v>
      </c>
      <c r="C1072" s="5" t="s">
        <v>1025</v>
      </c>
      <c r="D1072" s="6">
        <v>3</v>
      </c>
      <c r="E1072"/>
    </row>
    <row r="1073" spans="1:5" x14ac:dyDescent="0.25">
      <c r="A1073" s="5">
        <v>2684</v>
      </c>
      <c r="B1073" s="6">
        <v>2.016</v>
      </c>
      <c r="C1073" s="5" t="s">
        <v>1026</v>
      </c>
      <c r="D1073" s="6"/>
      <c r="E1073"/>
    </row>
    <row r="1074" spans="1:5" x14ac:dyDescent="0.25">
      <c r="A1074" s="5">
        <v>2690</v>
      </c>
      <c r="B1074" s="6">
        <v>6</v>
      </c>
      <c r="C1074" s="5" t="s">
        <v>1027</v>
      </c>
      <c r="D1074" s="6"/>
      <c r="E1074"/>
    </row>
    <row r="1075" spans="1:5" x14ac:dyDescent="0.25">
      <c r="A1075" s="5">
        <v>2674</v>
      </c>
      <c r="B1075" s="6">
        <v>4.8</v>
      </c>
      <c r="C1075" s="5" t="s">
        <v>1028</v>
      </c>
      <c r="D1075" s="6">
        <v>0.4</v>
      </c>
      <c r="E1075"/>
    </row>
    <row r="1076" spans="1:5" x14ac:dyDescent="0.25">
      <c r="A1076" s="5">
        <v>2712</v>
      </c>
      <c r="B1076" s="6">
        <v>14.4</v>
      </c>
      <c r="C1076" s="5" t="s">
        <v>1029</v>
      </c>
      <c r="D1076" s="6">
        <v>0.4</v>
      </c>
      <c r="E1076"/>
    </row>
    <row r="1077" spans="1:5" x14ac:dyDescent="0.25">
      <c r="A1077" s="5">
        <v>2716</v>
      </c>
      <c r="B1077" s="6">
        <v>12</v>
      </c>
      <c r="C1077" s="5" t="s">
        <v>1030</v>
      </c>
      <c r="D1077" s="6">
        <v>1.5</v>
      </c>
      <c r="E1077"/>
    </row>
    <row r="1078" spans="1:5" x14ac:dyDescent="0.25">
      <c r="A1078" s="5">
        <v>2697</v>
      </c>
      <c r="B1078" s="6">
        <v>8</v>
      </c>
      <c r="C1078" s="5" t="s">
        <v>1031</v>
      </c>
      <c r="D1078" s="6">
        <v>0.2</v>
      </c>
      <c r="E1078"/>
    </row>
    <row r="1079" spans="1:5" x14ac:dyDescent="0.25">
      <c r="A1079" s="5">
        <v>2698</v>
      </c>
      <c r="B1079" s="6">
        <v>6</v>
      </c>
      <c r="C1079" s="5" t="s">
        <v>1032</v>
      </c>
      <c r="D1079" s="6">
        <v>0.3</v>
      </c>
      <c r="E1079"/>
    </row>
    <row r="1080" spans="1:5" x14ac:dyDescent="0.25">
      <c r="A1080" s="5">
        <v>2702</v>
      </c>
      <c r="B1080" s="6">
        <v>16</v>
      </c>
      <c r="C1080" s="5" t="s">
        <v>1033</v>
      </c>
      <c r="D1080" s="6"/>
      <c r="E1080"/>
    </row>
    <row r="1081" spans="1:5" x14ac:dyDescent="0.25">
      <c r="A1081" s="5">
        <v>2709</v>
      </c>
      <c r="B1081" s="6">
        <v>9.6</v>
      </c>
      <c r="C1081" s="5" t="s">
        <v>1034</v>
      </c>
      <c r="D1081" s="6">
        <v>0.8</v>
      </c>
      <c r="E1081"/>
    </row>
    <row r="1082" spans="1:5" x14ac:dyDescent="0.25">
      <c r="A1082" s="5">
        <v>2706</v>
      </c>
      <c r="B1082" s="6">
        <v>12</v>
      </c>
      <c r="C1082" s="5" t="s">
        <v>1035</v>
      </c>
      <c r="D1082" s="6"/>
      <c r="E1082"/>
    </row>
    <row r="1083" spans="1:5" x14ac:dyDescent="0.25">
      <c r="A1083" s="5">
        <v>2715</v>
      </c>
      <c r="B1083" s="6">
        <v>7</v>
      </c>
      <c r="C1083" s="5" t="s">
        <v>1036</v>
      </c>
      <c r="D1083" s="6">
        <v>0.7</v>
      </c>
      <c r="E1083"/>
    </row>
    <row r="1084" spans="1:5" x14ac:dyDescent="0.25">
      <c r="A1084" s="5">
        <v>2708</v>
      </c>
      <c r="B1084" s="6">
        <v>9.6</v>
      </c>
      <c r="C1084" s="5" t="s">
        <v>1037</v>
      </c>
      <c r="D1084" s="6">
        <v>0.8</v>
      </c>
      <c r="E1084"/>
    </row>
    <row r="1085" spans="1:5" x14ac:dyDescent="0.25">
      <c r="A1085" s="5">
        <v>2700</v>
      </c>
      <c r="B1085" s="6">
        <v>15</v>
      </c>
      <c r="C1085" s="5" t="s">
        <v>1038</v>
      </c>
      <c r="D1085" s="6"/>
      <c r="E1085"/>
    </row>
    <row r="1086" spans="1:5" x14ac:dyDescent="0.25">
      <c r="A1086" s="5">
        <v>2701</v>
      </c>
      <c r="B1086" s="6">
        <v>16</v>
      </c>
      <c r="C1086" s="5" t="s">
        <v>1039</v>
      </c>
      <c r="D1086" s="6"/>
      <c r="E1086"/>
    </row>
    <row r="1087" spans="1:5" x14ac:dyDescent="0.25">
      <c r="A1087" s="5">
        <v>2714</v>
      </c>
      <c r="B1087" s="6">
        <v>3</v>
      </c>
      <c r="C1087" s="5" t="s">
        <v>1040</v>
      </c>
      <c r="D1087" s="6">
        <v>0.3</v>
      </c>
      <c r="E1087"/>
    </row>
    <row r="1088" spans="1:5" x14ac:dyDescent="0.25">
      <c r="A1088" s="5">
        <v>2665</v>
      </c>
      <c r="B1088" s="6">
        <v>18</v>
      </c>
      <c r="C1088" s="5" t="s">
        <v>1041</v>
      </c>
      <c r="D1088" s="6"/>
      <c r="E1088"/>
    </row>
    <row r="1089" spans="1:5" x14ac:dyDescent="0.25">
      <c r="A1089" s="5">
        <v>2710</v>
      </c>
      <c r="B1089" s="6">
        <v>9.6</v>
      </c>
      <c r="C1089" s="5" t="s">
        <v>1042</v>
      </c>
      <c r="D1089" s="6">
        <v>0.6</v>
      </c>
      <c r="E1089"/>
    </row>
    <row r="1090" spans="1:5" x14ac:dyDescent="0.25">
      <c r="A1090" s="5">
        <v>1204</v>
      </c>
      <c r="B1090" s="6">
        <v>5.52</v>
      </c>
      <c r="C1090" s="5" t="s">
        <v>1043</v>
      </c>
      <c r="D1090" s="6"/>
      <c r="E1090"/>
    </row>
    <row r="1091" spans="1:5" x14ac:dyDescent="0.25">
      <c r="A1091" s="5">
        <v>2487</v>
      </c>
      <c r="B1091" s="6">
        <v>5.52</v>
      </c>
      <c r="C1091" s="5" t="s">
        <v>1044</v>
      </c>
      <c r="D1091" s="6"/>
      <c r="E1091"/>
    </row>
    <row r="1092" spans="1:5" x14ac:dyDescent="0.25">
      <c r="A1092" s="5">
        <v>2711</v>
      </c>
      <c r="B1092" s="6">
        <v>11.2</v>
      </c>
      <c r="C1092" s="5" t="s">
        <v>1045</v>
      </c>
      <c r="D1092" s="6">
        <v>0.8</v>
      </c>
      <c r="E1092"/>
    </row>
    <row r="1093" spans="1:5" x14ac:dyDescent="0.25">
      <c r="A1093" s="5">
        <v>2691</v>
      </c>
      <c r="B1093" s="6">
        <v>14</v>
      </c>
      <c r="C1093" s="5" t="s">
        <v>1046</v>
      </c>
      <c r="D1093" s="6">
        <f>14/4</f>
        <v>3.5</v>
      </c>
      <c r="E1093"/>
    </row>
    <row r="1094" spans="1:5" x14ac:dyDescent="0.25">
      <c r="A1094" s="5">
        <v>2718</v>
      </c>
      <c r="B1094" s="6">
        <v>12</v>
      </c>
      <c r="C1094" s="5" t="s">
        <v>1047</v>
      </c>
      <c r="D1094" s="6">
        <v>1</v>
      </c>
      <c r="E1094"/>
    </row>
    <row r="1095" spans="1:5" x14ac:dyDescent="0.25">
      <c r="A1095" s="5">
        <v>2675</v>
      </c>
      <c r="B1095" s="6">
        <v>4.8</v>
      </c>
      <c r="C1095" s="5" t="s">
        <v>1048</v>
      </c>
      <c r="D1095" s="6">
        <v>0.4</v>
      </c>
      <c r="E1095"/>
    </row>
    <row r="1096" spans="1:5" x14ac:dyDescent="0.25">
      <c r="A1096" s="5">
        <v>2699</v>
      </c>
      <c r="B1096" s="6">
        <v>18</v>
      </c>
      <c r="C1096" s="5" t="s">
        <v>975</v>
      </c>
      <c r="D1096" s="6">
        <v>3</v>
      </c>
      <c r="E1096"/>
    </row>
    <row r="1097" spans="1:5" x14ac:dyDescent="0.25">
      <c r="A1097" s="5">
        <v>2713</v>
      </c>
      <c r="B1097" s="6">
        <v>3</v>
      </c>
      <c r="C1097" s="5" t="s">
        <v>1049</v>
      </c>
      <c r="D1097" s="6">
        <v>0.3</v>
      </c>
      <c r="E1097"/>
    </row>
    <row r="1098" spans="1:5" x14ac:dyDescent="0.25">
      <c r="A1098" s="5">
        <v>2658</v>
      </c>
      <c r="B1098" s="6">
        <v>12</v>
      </c>
      <c r="C1098" s="5" t="s">
        <v>1050</v>
      </c>
      <c r="D1098" s="6">
        <v>1</v>
      </c>
      <c r="E1098"/>
    </row>
    <row r="1099" spans="1:5" x14ac:dyDescent="0.25">
      <c r="A1099" s="5">
        <v>2739</v>
      </c>
      <c r="B1099" s="6">
        <v>12</v>
      </c>
      <c r="C1099" s="5" t="s">
        <v>1051</v>
      </c>
      <c r="D1099" s="6"/>
      <c r="E1099"/>
    </row>
    <row r="1100" spans="1:5" x14ac:dyDescent="0.25">
      <c r="A1100" s="5">
        <v>2745</v>
      </c>
      <c r="B1100" s="6">
        <v>18</v>
      </c>
      <c r="C1100" s="5" t="s">
        <v>1052</v>
      </c>
      <c r="D1100" s="6">
        <v>0.6</v>
      </c>
      <c r="E1100"/>
    </row>
    <row r="1101" spans="1:5" x14ac:dyDescent="0.25">
      <c r="A1101" s="5">
        <v>2746</v>
      </c>
      <c r="B1101" s="6">
        <v>16</v>
      </c>
      <c r="C1101" s="5" t="s">
        <v>1053</v>
      </c>
      <c r="D1101" s="6"/>
      <c r="E1101"/>
    </row>
    <row r="1102" spans="1:5" x14ac:dyDescent="0.25">
      <c r="A1102" s="5">
        <v>2751</v>
      </c>
      <c r="B1102" s="6">
        <v>20</v>
      </c>
      <c r="C1102" s="5" t="s">
        <v>1054</v>
      </c>
      <c r="D1102" s="6">
        <v>1</v>
      </c>
      <c r="E1102"/>
    </row>
    <row r="1103" spans="1:5" x14ac:dyDescent="0.25">
      <c r="A1103" s="5">
        <v>2747</v>
      </c>
      <c r="B1103" s="6">
        <v>18.5</v>
      </c>
      <c r="C1103" s="5" t="s">
        <v>1055</v>
      </c>
      <c r="D1103" s="6"/>
      <c r="E1103"/>
    </row>
    <row r="1104" spans="1:5" x14ac:dyDescent="0.25">
      <c r="A1104" s="5">
        <v>2750</v>
      </c>
      <c r="B1104" s="6">
        <v>24</v>
      </c>
      <c r="C1104" s="5" t="s">
        <v>1056</v>
      </c>
      <c r="D1104" s="6">
        <v>1</v>
      </c>
      <c r="E1104"/>
    </row>
    <row r="1105" spans="1:5" x14ac:dyDescent="0.25">
      <c r="A1105" s="5">
        <v>2743</v>
      </c>
      <c r="B1105" s="6">
        <v>14</v>
      </c>
      <c r="C1105" s="5" t="s">
        <v>1057</v>
      </c>
      <c r="D1105" s="6"/>
      <c r="E1105"/>
    </row>
    <row r="1106" spans="1:5" x14ac:dyDescent="0.25">
      <c r="A1106" s="5">
        <v>2744</v>
      </c>
      <c r="B1106" s="6">
        <v>12</v>
      </c>
      <c r="C1106" s="5" t="s">
        <v>1058</v>
      </c>
      <c r="D1106" s="6"/>
      <c r="E1106"/>
    </row>
    <row r="1107" spans="1:5" x14ac:dyDescent="0.25">
      <c r="A1107" s="5">
        <v>2740</v>
      </c>
      <c r="B1107" s="6">
        <v>18</v>
      </c>
      <c r="C1107" s="5" t="s">
        <v>1059</v>
      </c>
      <c r="D1107" s="6"/>
      <c r="E1107"/>
    </row>
    <row r="1108" spans="1:5" x14ac:dyDescent="0.25">
      <c r="A1108" s="5">
        <v>2759</v>
      </c>
      <c r="B1108" s="6">
        <v>20</v>
      </c>
      <c r="C1108" s="5" t="s">
        <v>1060</v>
      </c>
      <c r="D1108" s="6"/>
      <c r="E1108"/>
    </row>
    <row r="1109" spans="1:5" x14ac:dyDescent="0.25">
      <c r="A1109" s="5">
        <v>2756</v>
      </c>
      <c r="B1109" s="6">
        <v>9.6</v>
      </c>
      <c r="C1109" s="5" t="s">
        <v>1061</v>
      </c>
      <c r="D1109" s="6">
        <v>0.4</v>
      </c>
      <c r="E1109"/>
    </row>
    <row r="1110" spans="1:5" x14ac:dyDescent="0.25">
      <c r="A1110" s="5">
        <v>2755</v>
      </c>
      <c r="B1110" s="6">
        <v>18</v>
      </c>
      <c r="C1110" s="5" t="s">
        <v>1062</v>
      </c>
      <c r="D1110" s="6"/>
      <c r="E1110"/>
    </row>
    <row r="1111" spans="1:5" x14ac:dyDescent="0.25">
      <c r="A1111" s="5">
        <v>2729</v>
      </c>
      <c r="B1111" s="6">
        <v>7</v>
      </c>
      <c r="C1111" s="5" t="s">
        <v>1063</v>
      </c>
      <c r="D1111" s="6">
        <v>1</v>
      </c>
      <c r="E1111"/>
    </row>
    <row r="1112" spans="1:5" x14ac:dyDescent="0.25">
      <c r="A1112" s="5">
        <v>2461</v>
      </c>
      <c r="B1112" s="6">
        <v>6</v>
      </c>
      <c r="C1112" s="5" t="s">
        <v>1064</v>
      </c>
      <c r="D1112" s="6">
        <v>0.6</v>
      </c>
      <c r="E1112"/>
    </row>
    <row r="1113" spans="1:5" x14ac:dyDescent="0.25">
      <c r="A1113" s="5">
        <v>1784</v>
      </c>
      <c r="B1113" s="6">
        <v>24</v>
      </c>
      <c r="C1113" s="5" t="s">
        <v>1065</v>
      </c>
      <c r="D1113" s="6"/>
      <c r="E1113"/>
    </row>
    <row r="1114" spans="1:5" x14ac:dyDescent="0.25">
      <c r="A1114" s="5">
        <v>2748</v>
      </c>
      <c r="B1114" s="6">
        <v>10</v>
      </c>
      <c r="C1114" s="5" t="s">
        <v>1066</v>
      </c>
      <c r="D1114" s="6">
        <v>1</v>
      </c>
      <c r="E1114"/>
    </row>
    <row r="1115" spans="1:5" x14ac:dyDescent="0.25">
      <c r="A1115" s="5">
        <v>2736</v>
      </c>
      <c r="B1115" s="6">
        <v>22.4</v>
      </c>
      <c r="C1115" s="5" t="s">
        <v>1067</v>
      </c>
      <c r="D1115" s="6">
        <v>0.7</v>
      </c>
      <c r="E1115"/>
    </row>
    <row r="1116" spans="1:5" x14ac:dyDescent="0.25">
      <c r="A1116" s="5">
        <v>2473</v>
      </c>
      <c r="B1116" s="6">
        <v>6</v>
      </c>
      <c r="C1116" s="5" t="s">
        <v>1068</v>
      </c>
      <c r="D1116" s="6"/>
      <c r="E1116"/>
    </row>
    <row r="1117" spans="1:5" x14ac:dyDescent="0.25">
      <c r="A1117" s="5">
        <v>2757</v>
      </c>
      <c r="B1117" s="6">
        <v>20</v>
      </c>
      <c r="C1117" s="5" t="s">
        <v>1069</v>
      </c>
      <c r="D1117" s="6"/>
      <c r="E1117"/>
    </row>
    <row r="1118" spans="1:5" x14ac:dyDescent="0.25">
      <c r="A1118" s="5">
        <v>2687</v>
      </c>
      <c r="B1118" s="6">
        <v>24</v>
      </c>
      <c r="C1118" s="5" t="s">
        <v>1070</v>
      </c>
      <c r="D1118" s="6">
        <v>1</v>
      </c>
      <c r="E1118"/>
    </row>
    <row r="1119" spans="1:5" x14ac:dyDescent="0.25">
      <c r="A1119" s="5">
        <v>2731</v>
      </c>
      <c r="B1119" s="6">
        <v>27</v>
      </c>
      <c r="C1119" s="5" t="s">
        <v>1071</v>
      </c>
      <c r="D1119" s="6"/>
      <c r="E1119"/>
    </row>
    <row r="1120" spans="1:5" x14ac:dyDescent="0.25">
      <c r="A1120" s="5">
        <v>2758</v>
      </c>
      <c r="B1120" s="6">
        <v>20</v>
      </c>
      <c r="C1120" s="5" t="s">
        <v>1072</v>
      </c>
      <c r="D1120" s="6"/>
      <c r="E1120"/>
    </row>
    <row r="1121" spans="1:5" x14ac:dyDescent="0.25">
      <c r="A1121" s="5">
        <v>1172</v>
      </c>
      <c r="B1121" s="6">
        <v>20</v>
      </c>
      <c r="C1121" s="5" t="s">
        <v>1073</v>
      </c>
      <c r="D1121" s="6">
        <v>1</v>
      </c>
      <c r="E1121"/>
    </row>
    <row r="1122" spans="1:5" x14ac:dyDescent="0.25">
      <c r="A1122" s="5">
        <v>2732</v>
      </c>
      <c r="B1122" s="6">
        <v>7.2</v>
      </c>
      <c r="C1122" s="5" t="s">
        <v>1074</v>
      </c>
      <c r="D1122" s="6"/>
      <c r="E1122"/>
    </row>
    <row r="1123" spans="1:5" x14ac:dyDescent="0.25">
      <c r="A1123" s="5">
        <v>2769</v>
      </c>
      <c r="B1123" s="6">
        <v>18</v>
      </c>
      <c r="C1123" s="5" t="s">
        <v>1075</v>
      </c>
      <c r="D1123" s="6"/>
      <c r="E1123"/>
    </row>
    <row r="1124" spans="1:5" x14ac:dyDescent="0.25">
      <c r="A1124" s="5">
        <v>2784</v>
      </c>
      <c r="B1124" s="6">
        <v>18</v>
      </c>
      <c r="C1124" s="5" t="s">
        <v>1076</v>
      </c>
      <c r="D1124" s="6"/>
      <c r="E1124"/>
    </row>
    <row r="1125" spans="1:5" x14ac:dyDescent="0.25">
      <c r="A1125" s="5">
        <v>2625</v>
      </c>
      <c r="B1125" s="6">
        <v>10</v>
      </c>
      <c r="C1125" s="5" t="s">
        <v>1077</v>
      </c>
      <c r="D1125" s="6">
        <v>5</v>
      </c>
      <c r="E1125"/>
    </row>
    <row r="1126" spans="1:5" x14ac:dyDescent="0.25">
      <c r="A1126" s="5">
        <v>2738</v>
      </c>
      <c r="B1126" s="6">
        <v>15</v>
      </c>
      <c r="C1126" s="5" t="s">
        <v>1078</v>
      </c>
      <c r="D1126" s="6"/>
      <c r="E1126"/>
    </row>
    <row r="1127" spans="1:5" x14ac:dyDescent="0.25">
      <c r="A1127" s="5">
        <v>2791</v>
      </c>
      <c r="B1127" s="6">
        <v>18</v>
      </c>
      <c r="C1127" s="5" t="s">
        <v>1079</v>
      </c>
      <c r="D1127" s="6"/>
      <c r="E1127"/>
    </row>
    <row r="1128" spans="1:5" x14ac:dyDescent="0.25">
      <c r="A1128" s="5">
        <v>2790</v>
      </c>
      <c r="B1128" s="6">
        <v>20</v>
      </c>
      <c r="C1128" s="5" t="s">
        <v>1080</v>
      </c>
      <c r="D1128" s="6"/>
      <c r="E1128"/>
    </row>
    <row r="1129" spans="1:5" x14ac:dyDescent="0.25">
      <c r="A1129" s="5">
        <v>2767</v>
      </c>
      <c r="B1129" s="6">
        <v>20</v>
      </c>
      <c r="C1129" s="5" t="s">
        <v>1081</v>
      </c>
      <c r="D1129" s="6">
        <v>5</v>
      </c>
      <c r="E1129"/>
    </row>
    <row r="1130" spans="1:5" x14ac:dyDescent="0.25">
      <c r="A1130" s="5">
        <v>2795</v>
      </c>
      <c r="B1130" s="6">
        <v>8</v>
      </c>
      <c r="C1130" s="5" t="s">
        <v>1082</v>
      </c>
      <c r="D1130" s="6"/>
      <c r="E1130"/>
    </row>
    <row r="1131" spans="1:5" x14ac:dyDescent="0.25">
      <c r="A1131" s="5">
        <v>2786</v>
      </c>
      <c r="B1131" s="6">
        <v>10</v>
      </c>
      <c r="C1131" s="5" t="s">
        <v>1083</v>
      </c>
      <c r="D1131" s="6">
        <v>0.5</v>
      </c>
      <c r="E1131"/>
    </row>
    <row r="1132" spans="1:5" x14ac:dyDescent="0.25">
      <c r="A1132" s="5">
        <v>2775</v>
      </c>
      <c r="B1132" s="6">
        <v>7</v>
      </c>
      <c r="C1132" s="5" t="s">
        <v>1084</v>
      </c>
      <c r="D1132" s="6">
        <f>7/2</f>
        <v>3.5</v>
      </c>
      <c r="E1132"/>
    </row>
    <row r="1133" spans="1:5" x14ac:dyDescent="0.25">
      <c r="A1133" s="5">
        <v>2761</v>
      </c>
      <c r="B1133" s="6">
        <v>8</v>
      </c>
      <c r="C1133" s="5" t="s">
        <v>1085</v>
      </c>
      <c r="D1133" s="6"/>
      <c r="E1133"/>
    </row>
    <row r="1134" spans="1:5" x14ac:dyDescent="0.25">
      <c r="A1134" s="5">
        <v>2809</v>
      </c>
      <c r="B1134" s="6">
        <v>3</v>
      </c>
      <c r="C1134" s="5" t="s">
        <v>1086</v>
      </c>
      <c r="D1134" s="6"/>
      <c r="E1134"/>
    </row>
    <row r="1135" spans="1:5" x14ac:dyDescent="0.25">
      <c r="A1135" s="5">
        <v>2810</v>
      </c>
      <c r="B1135" s="6">
        <v>2.75</v>
      </c>
      <c r="C1135" s="5" t="s">
        <v>1087</v>
      </c>
      <c r="D1135" s="6"/>
      <c r="E1135"/>
    </row>
    <row r="1136" spans="1:5" x14ac:dyDescent="0.25">
      <c r="A1136" s="5">
        <v>2770</v>
      </c>
      <c r="B1136" s="6">
        <v>18</v>
      </c>
      <c r="C1136" s="5" t="s">
        <v>1088</v>
      </c>
      <c r="D1136" s="6">
        <v>1</v>
      </c>
      <c r="E1136"/>
    </row>
    <row r="1137" spans="1:5" x14ac:dyDescent="0.25">
      <c r="A1137" s="5">
        <v>2815</v>
      </c>
      <c r="B1137" s="6">
        <v>9.6</v>
      </c>
      <c r="C1137" s="5" t="s">
        <v>1089</v>
      </c>
      <c r="D1137" s="6">
        <v>0.8</v>
      </c>
      <c r="E1137"/>
    </row>
    <row r="1138" spans="1:5" x14ac:dyDescent="0.25">
      <c r="A1138" s="5">
        <v>2811</v>
      </c>
      <c r="B1138" s="6">
        <v>9.6</v>
      </c>
      <c r="C1138" s="5" t="s">
        <v>1090</v>
      </c>
      <c r="D1138" s="6">
        <v>0.8</v>
      </c>
      <c r="E1138"/>
    </row>
    <row r="1139" spans="1:5" x14ac:dyDescent="0.25">
      <c r="A1139" s="5">
        <v>2805</v>
      </c>
      <c r="B1139" s="6">
        <v>12</v>
      </c>
      <c r="C1139" s="5" t="s">
        <v>1091</v>
      </c>
      <c r="D1139" s="6">
        <v>1</v>
      </c>
      <c r="E1139"/>
    </row>
    <row r="1140" spans="1:5" x14ac:dyDescent="0.25">
      <c r="A1140" s="5">
        <v>2801</v>
      </c>
      <c r="B1140" s="6">
        <v>2.016</v>
      </c>
      <c r="C1140" s="5" t="s">
        <v>1092</v>
      </c>
      <c r="D1140" s="6"/>
      <c r="E1140"/>
    </row>
    <row r="1141" spans="1:5" x14ac:dyDescent="0.25">
      <c r="A1141" s="5">
        <v>2557</v>
      </c>
      <c r="B1141" s="6">
        <v>12</v>
      </c>
      <c r="C1141" s="5" t="s">
        <v>1093</v>
      </c>
      <c r="D1141" s="6"/>
      <c r="E1141"/>
    </row>
    <row r="1142" spans="1:5" x14ac:dyDescent="0.25">
      <c r="A1142" s="5">
        <v>2804</v>
      </c>
      <c r="B1142" s="6">
        <v>20</v>
      </c>
      <c r="C1142" s="5" t="s">
        <v>1094</v>
      </c>
      <c r="D1142" s="6">
        <v>5</v>
      </c>
      <c r="E1142"/>
    </row>
    <row r="1143" spans="1:5" x14ac:dyDescent="0.25">
      <c r="A1143" s="5">
        <v>2813</v>
      </c>
      <c r="B1143" s="6">
        <v>9.8000000000000007</v>
      </c>
      <c r="C1143" s="5" t="s">
        <v>1095</v>
      </c>
      <c r="D1143" s="6">
        <v>0.7</v>
      </c>
      <c r="E1143"/>
    </row>
    <row r="1144" spans="1:5" x14ac:dyDescent="0.25">
      <c r="A1144" s="5">
        <v>2814</v>
      </c>
      <c r="B1144" s="6">
        <v>6</v>
      </c>
      <c r="C1144" s="5" t="s">
        <v>1096</v>
      </c>
      <c r="D1144" s="6"/>
      <c r="E1144"/>
    </row>
    <row r="1145" spans="1:5" x14ac:dyDescent="0.25">
      <c r="A1145" s="5">
        <v>2819</v>
      </c>
      <c r="B1145" s="6">
        <v>9.6</v>
      </c>
      <c r="C1145" s="5" t="s">
        <v>1097</v>
      </c>
      <c r="D1145" s="6">
        <v>0.8</v>
      </c>
      <c r="E1145"/>
    </row>
    <row r="1146" spans="1:5" x14ac:dyDescent="0.25">
      <c r="A1146" s="5">
        <v>2778</v>
      </c>
      <c r="B1146" s="6">
        <v>3.6</v>
      </c>
      <c r="C1146" s="5" t="s">
        <v>1098</v>
      </c>
      <c r="D1146" s="6"/>
      <c r="E1146"/>
    </row>
    <row r="1147" spans="1:5" x14ac:dyDescent="0.25">
      <c r="A1147" s="5">
        <v>2818</v>
      </c>
      <c r="B1147" s="6">
        <v>9.6</v>
      </c>
      <c r="C1147" s="5" t="s">
        <v>1099</v>
      </c>
      <c r="D1147" s="6">
        <v>0.8</v>
      </c>
      <c r="E1147"/>
    </row>
    <row r="1148" spans="1:5" x14ac:dyDescent="0.25">
      <c r="A1148" s="5">
        <v>2816</v>
      </c>
      <c r="B1148" s="6">
        <v>16</v>
      </c>
      <c r="C1148" s="5" t="s">
        <v>1100</v>
      </c>
      <c r="D1148" s="6">
        <v>1</v>
      </c>
      <c r="E1148"/>
    </row>
    <row r="1149" spans="1:5" x14ac:dyDescent="0.25">
      <c r="A1149" s="5">
        <v>2766</v>
      </c>
      <c r="B1149" s="6">
        <v>15</v>
      </c>
      <c r="C1149" s="5" t="s">
        <v>1101</v>
      </c>
      <c r="D1149" s="6"/>
      <c r="E1149"/>
    </row>
    <row r="1150" spans="1:5" x14ac:dyDescent="0.25">
      <c r="A1150" s="5">
        <v>2817</v>
      </c>
      <c r="B1150" s="6">
        <v>5.04</v>
      </c>
      <c r="C1150" s="5" t="s">
        <v>1102</v>
      </c>
      <c r="D1150" s="6"/>
      <c r="E1150"/>
    </row>
    <row r="1151" spans="1:5" x14ac:dyDescent="0.25">
      <c r="A1151" s="5">
        <v>2772</v>
      </c>
      <c r="B1151" s="6">
        <v>18</v>
      </c>
      <c r="C1151" s="5" t="s">
        <v>1103</v>
      </c>
      <c r="D1151" s="6">
        <v>1</v>
      </c>
      <c r="E1151"/>
    </row>
    <row r="1152" spans="1:5" x14ac:dyDescent="0.25">
      <c r="A1152" s="5">
        <v>2768</v>
      </c>
      <c r="B1152" s="6">
        <v>18</v>
      </c>
      <c r="C1152" s="5" t="s">
        <v>1104</v>
      </c>
      <c r="D1152" s="6">
        <v>1</v>
      </c>
      <c r="E1152"/>
    </row>
    <row r="1153" spans="1:5" x14ac:dyDescent="0.25">
      <c r="A1153" s="5">
        <v>2812</v>
      </c>
      <c r="B1153" s="6">
        <v>6</v>
      </c>
      <c r="C1153" s="5" t="s">
        <v>1105</v>
      </c>
      <c r="D1153" s="6">
        <v>1.5</v>
      </c>
      <c r="E1153"/>
    </row>
    <row r="1154" spans="1:5" x14ac:dyDescent="0.25">
      <c r="A1154" s="5">
        <v>2794</v>
      </c>
      <c r="B1154" s="6">
        <v>24</v>
      </c>
      <c r="C1154" s="5" t="s">
        <v>1106</v>
      </c>
      <c r="D1154" s="6">
        <v>6</v>
      </c>
      <c r="E1154"/>
    </row>
    <row r="1155" spans="1:5" x14ac:dyDescent="0.25">
      <c r="A1155" s="5">
        <v>2793</v>
      </c>
      <c r="B1155" s="6">
        <v>6</v>
      </c>
      <c r="C1155" s="5" t="s">
        <v>1107</v>
      </c>
      <c r="D1155" s="6"/>
      <c r="E1155"/>
    </row>
    <row r="1156" spans="1:5" x14ac:dyDescent="0.25">
      <c r="A1156" s="5">
        <v>2792</v>
      </c>
      <c r="B1156" s="6">
        <v>6</v>
      </c>
      <c r="C1156" s="5" t="s">
        <v>1108</v>
      </c>
      <c r="D1156" s="6"/>
      <c r="E1156"/>
    </row>
    <row r="1157" spans="1:5" x14ac:dyDescent="0.25">
      <c r="A1157" s="5">
        <v>2840</v>
      </c>
      <c r="B1157" s="6">
        <v>12</v>
      </c>
      <c r="C1157" s="5" t="s">
        <v>1109</v>
      </c>
      <c r="D1157" s="6"/>
      <c r="E1157"/>
    </row>
    <row r="1158" spans="1:5" x14ac:dyDescent="0.25">
      <c r="A1158" s="5">
        <v>2839</v>
      </c>
      <c r="B1158" s="6">
        <v>12</v>
      </c>
      <c r="C1158" s="5" t="s">
        <v>1110</v>
      </c>
      <c r="D1158" s="6"/>
      <c r="E1158"/>
    </row>
    <row r="1159" spans="1:5" x14ac:dyDescent="0.25">
      <c r="A1159" s="5">
        <v>2845</v>
      </c>
      <c r="B1159" s="6">
        <v>12</v>
      </c>
      <c r="C1159" s="5" t="s">
        <v>1111</v>
      </c>
      <c r="D1159" s="6"/>
      <c r="E1159"/>
    </row>
    <row r="1160" spans="1:5" x14ac:dyDescent="0.25">
      <c r="A1160" s="5">
        <v>2787</v>
      </c>
      <c r="B1160" s="6">
        <v>3.23</v>
      </c>
      <c r="C1160" s="5" t="s">
        <v>1112</v>
      </c>
      <c r="D1160" s="6"/>
      <c r="E1160"/>
    </row>
    <row r="1161" spans="1:5" x14ac:dyDescent="0.25">
      <c r="A1161" s="5">
        <v>2852</v>
      </c>
      <c r="B1161" s="6">
        <v>24</v>
      </c>
      <c r="C1161" s="5" t="s">
        <v>1113</v>
      </c>
      <c r="D1161" s="6">
        <v>1</v>
      </c>
      <c r="E1161"/>
    </row>
    <row r="1162" spans="1:5" x14ac:dyDescent="0.25">
      <c r="A1162" s="5">
        <v>2851</v>
      </c>
      <c r="B1162" s="6">
        <v>12</v>
      </c>
      <c r="C1162" s="5" t="s">
        <v>1114</v>
      </c>
      <c r="D1162" s="6">
        <v>1</v>
      </c>
      <c r="E1162"/>
    </row>
    <row r="1163" spans="1:5" x14ac:dyDescent="0.25">
      <c r="A1163" s="5">
        <v>2821</v>
      </c>
      <c r="B1163" s="6">
        <v>6</v>
      </c>
      <c r="C1163" s="5" t="s">
        <v>1115</v>
      </c>
      <c r="D1163" s="6">
        <v>1</v>
      </c>
      <c r="E1163"/>
    </row>
    <row r="1164" spans="1:5" x14ac:dyDescent="0.25">
      <c r="A1164" s="5">
        <v>2850</v>
      </c>
      <c r="B1164" s="6">
        <v>3.6</v>
      </c>
      <c r="C1164" s="5" t="s">
        <v>1116</v>
      </c>
      <c r="D1164" s="6"/>
      <c r="E1164"/>
    </row>
    <row r="1165" spans="1:5" x14ac:dyDescent="0.25">
      <c r="A1165" s="5">
        <v>2459</v>
      </c>
      <c r="B1165" s="6">
        <v>6</v>
      </c>
      <c r="C1165" s="5" t="s">
        <v>1117</v>
      </c>
      <c r="D1165" s="6">
        <v>0.6</v>
      </c>
      <c r="E1165"/>
    </row>
    <row r="1166" spans="1:5" x14ac:dyDescent="0.25">
      <c r="A1166" s="5">
        <v>2833</v>
      </c>
      <c r="B1166" s="6">
        <v>12</v>
      </c>
      <c r="C1166" s="5" t="s">
        <v>1118</v>
      </c>
      <c r="D1166" s="6">
        <v>1</v>
      </c>
      <c r="E1166"/>
    </row>
    <row r="1167" spans="1:5" x14ac:dyDescent="0.25">
      <c r="A1167" s="5">
        <v>2837</v>
      </c>
      <c r="B1167" s="6">
        <v>12</v>
      </c>
      <c r="C1167" s="5" t="s">
        <v>1119</v>
      </c>
      <c r="D1167" s="6">
        <v>1</v>
      </c>
      <c r="E1167"/>
    </row>
    <row r="1168" spans="1:5" x14ac:dyDescent="0.25">
      <c r="A1168" s="5">
        <v>2826</v>
      </c>
      <c r="B1168" s="6">
        <v>6</v>
      </c>
      <c r="C1168" s="5" t="s">
        <v>1120</v>
      </c>
      <c r="D1168" s="6">
        <v>1</v>
      </c>
      <c r="E1168"/>
    </row>
    <row r="1169" spans="1:5" x14ac:dyDescent="0.25">
      <c r="A1169" s="5">
        <v>2827</v>
      </c>
      <c r="B1169" s="6">
        <v>12</v>
      </c>
      <c r="C1169" s="5" t="s">
        <v>1121</v>
      </c>
      <c r="D1169" s="6">
        <v>1</v>
      </c>
      <c r="E1169"/>
    </row>
    <row r="1170" spans="1:5" x14ac:dyDescent="0.25">
      <c r="A1170" s="5">
        <v>2846</v>
      </c>
      <c r="B1170" s="6">
        <v>6</v>
      </c>
      <c r="C1170" s="5" t="s">
        <v>1122</v>
      </c>
      <c r="D1170" s="6"/>
      <c r="E1170"/>
    </row>
    <row r="1171" spans="1:5" x14ac:dyDescent="0.25">
      <c r="A1171" s="5">
        <v>2796</v>
      </c>
      <c r="B1171" s="6">
        <v>6</v>
      </c>
      <c r="C1171" s="5" t="s">
        <v>1123</v>
      </c>
      <c r="D1171" s="6"/>
      <c r="E1171"/>
    </row>
    <row r="1172" spans="1:5" x14ac:dyDescent="0.25">
      <c r="A1172" s="5">
        <v>2830</v>
      </c>
      <c r="B1172" s="6">
        <v>6</v>
      </c>
      <c r="C1172" s="5" t="s">
        <v>1124</v>
      </c>
      <c r="D1172" s="6">
        <v>1</v>
      </c>
      <c r="E1172"/>
    </row>
    <row r="1173" spans="1:5" x14ac:dyDescent="0.25">
      <c r="A1173" s="5">
        <v>2831</v>
      </c>
      <c r="B1173" s="6">
        <v>24</v>
      </c>
      <c r="C1173" s="5" t="s">
        <v>1125</v>
      </c>
      <c r="D1173" s="6">
        <v>1</v>
      </c>
      <c r="E1173"/>
    </row>
    <row r="1174" spans="1:5" x14ac:dyDescent="0.25">
      <c r="A1174" s="5">
        <v>2824</v>
      </c>
      <c r="B1174" s="6">
        <v>24</v>
      </c>
      <c r="C1174" s="5" t="s">
        <v>1126</v>
      </c>
      <c r="D1174" s="6">
        <v>1</v>
      </c>
      <c r="E1174"/>
    </row>
    <row r="1175" spans="1:5" x14ac:dyDescent="0.25">
      <c r="A1175" s="5">
        <v>2612</v>
      </c>
      <c r="B1175" s="6">
        <v>12</v>
      </c>
      <c r="C1175" s="5" t="s">
        <v>1127</v>
      </c>
      <c r="D1175" s="6">
        <v>1</v>
      </c>
      <c r="E1175"/>
    </row>
    <row r="1176" spans="1:5" x14ac:dyDescent="0.25">
      <c r="A1176" s="5">
        <v>2789</v>
      </c>
      <c r="B1176" s="6">
        <v>25</v>
      </c>
      <c r="C1176" s="5" t="s">
        <v>1128</v>
      </c>
      <c r="D1176" s="6">
        <v>1</v>
      </c>
      <c r="E1176"/>
    </row>
    <row r="1177" spans="1:5" x14ac:dyDescent="0.25">
      <c r="A1177" s="5">
        <v>2420</v>
      </c>
      <c r="B1177" s="6">
        <v>50</v>
      </c>
      <c r="C1177" s="5" t="s">
        <v>1129</v>
      </c>
      <c r="D1177" s="6">
        <v>1</v>
      </c>
      <c r="E1177"/>
    </row>
    <row r="1178" spans="1:5" x14ac:dyDescent="0.25">
      <c r="A1178" s="5">
        <v>2797</v>
      </c>
      <c r="B1178" s="6">
        <v>7.2</v>
      </c>
      <c r="C1178" s="5" t="s">
        <v>1130</v>
      </c>
      <c r="D1178" s="6"/>
      <c r="E1178"/>
    </row>
    <row r="1179" spans="1:5" x14ac:dyDescent="0.25">
      <c r="A1179" s="5">
        <v>2823</v>
      </c>
      <c r="B1179" s="6">
        <v>150</v>
      </c>
      <c r="C1179" s="5" t="s">
        <v>1131</v>
      </c>
      <c r="D1179" s="6"/>
      <c r="E1179"/>
    </row>
    <row r="1180" spans="1:5" x14ac:dyDescent="0.25">
      <c r="A1180" s="5">
        <v>2828</v>
      </c>
      <c r="B1180" s="6">
        <v>150</v>
      </c>
      <c r="C1180" s="5" t="s">
        <v>1132</v>
      </c>
      <c r="D1180" s="6"/>
      <c r="E1180"/>
    </row>
    <row r="1181" spans="1:5" x14ac:dyDescent="0.25">
      <c r="A1181" s="5">
        <v>2825</v>
      </c>
      <c r="B1181" s="6">
        <v>150</v>
      </c>
      <c r="C1181" s="5" t="s">
        <v>1133</v>
      </c>
      <c r="D1181" s="6"/>
      <c r="E1181"/>
    </row>
    <row r="1182" spans="1:5" x14ac:dyDescent="0.25">
      <c r="A1182" s="5">
        <v>2838</v>
      </c>
      <c r="B1182" s="6">
        <v>1000</v>
      </c>
      <c r="C1182" s="5" t="s">
        <v>1134</v>
      </c>
      <c r="D1182" s="6"/>
      <c r="E1182"/>
    </row>
    <row r="1183" spans="1:5" x14ac:dyDescent="0.25">
      <c r="A1183" s="5">
        <v>2864</v>
      </c>
      <c r="B1183" s="6">
        <v>24</v>
      </c>
      <c r="C1183" s="5" t="s">
        <v>1135</v>
      </c>
      <c r="D1183" s="6">
        <v>1</v>
      </c>
      <c r="E1183"/>
    </row>
    <row r="1184" spans="1:5" x14ac:dyDescent="0.25">
      <c r="A1184" s="5">
        <v>2608</v>
      </c>
      <c r="B1184" s="6">
        <v>12</v>
      </c>
      <c r="C1184" s="5" t="s">
        <v>1136</v>
      </c>
      <c r="D1184" s="6">
        <v>1</v>
      </c>
      <c r="E1184"/>
    </row>
    <row r="1185" spans="1:5" x14ac:dyDescent="0.25">
      <c r="A1185" s="5">
        <v>2859</v>
      </c>
      <c r="B1185" s="6">
        <v>24</v>
      </c>
      <c r="C1185" s="5" t="s">
        <v>1137</v>
      </c>
      <c r="D1185" s="6"/>
      <c r="E1185"/>
    </row>
    <row r="1186" spans="1:5" x14ac:dyDescent="0.25">
      <c r="A1186" s="5">
        <v>2841</v>
      </c>
      <c r="B1186" s="6">
        <v>12</v>
      </c>
      <c r="C1186" s="5" t="s">
        <v>1138</v>
      </c>
      <c r="D1186" s="6"/>
      <c r="E1186"/>
    </row>
    <row r="1187" spans="1:5" x14ac:dyDescent="0.25">
      <c r="A1187" s="5">
        <v>2860</v>
      </c>
      <c r="B1187" s="6">
        <v>24</v>
      </c>
      <c r="C1187" s="5" t="s">
        <v>1139</v>
      </c>
      <c r="D1187" s="6"/>
      <c r="E1187"/>
    </row>
    <row r="1188" spans="1:5" x14ac:dyDescent="0.25">
      <c r="A1188" s="5">
        <v>2861</v>
      </c>
      <c r="B1188" s="6">
        <v>24</v>
      </c>
      <c r="C1188" s="5" t="s">
        <v>1140</v>
      </c>
      <c r="D1188" s="6"/>
      <c r="E1188"/>
    </row>
    <row r="1189" spans="1:5" x14ac:dyDescent="0.25">
      <c r="A1189" s="5">
        <v>2863</v>
      </c>
      <c r="B1189" s="6">
        <v>24</v>
      </c>
      <c r="C1189" s="5" t="s">
        <v>1141</v>
      </c>
      <c r="D1189" s="6"/>
      <c r="E1189"/>
    </row>
    <row r="1190" spans="1:5" x14ac:dyDescent="0.25">
      <c r="A1190" s="5">
        <v>2855</v>
      </c>
      <c r="B1190" s="6">
        <v>27</v>
      </c>
      <c r="C1190" s="5" t="s">
        <v>1142</v>
      </c>
      <c r="D1190" s="6"/>
      <c r="E1190"/>
    </row>
    <row r="1191" spans="1:5" x14ac:dyDescent="0.25">
      <c r="A1191" s="5">
        <v>2853</v>
      </c>
      <c r="B1191" s="6">
        <v>12</v>
      </c>
      <c r="C1191" s="5" t="s">
        <v>1143</v>
      </c>
      <c r="D1191" s="6"/>
      <c r="E1191"/>
    </row>
    <row r="1192" spans="1:5" x14ac:dyDescent="0.25">
      <c r="A1192" s="5">
        <v>2866</v>
      </c>
      <c r="B1192" s="6">
        <v>12</v>
      </c>
      <c r="C1192" s="5" t="s">
        <v>1144</v>
      </c>
      <c r="D1192" s="6"/>
      <c r="E1192"/>
    </row>
    <row r="1193" spans="1:5" x14ac:dyDescent="0.25">
      <c r="A1193" s="5">
        <v>2867</v>
      </c>
      <c r="B1193" s="6">
        <v>12</v>
      </c>
      <c r="C1193" s="5" t="s">
        <v>1145</v>
      </c>
      <c r="D1193" s="6"/>
      <c r="E1193"/>
    </row>
    <row r="1194" spans="1:5" x14ac:dyDescent="0.25">
      <c r="A1194" s="5">
        <v>1616</v>
      </c>
      <c r="B1194" s="6">
        <v>6</v>
      </c>
      <c r="C1194" s="5" t="s">
        <v>1146</v>
      </c>
      <c r="D1194" s="6">
        <v>1</v>
      </c>
      <c r="E1194"/>
    </row>
    <row r="1195" spans="1:5" x14ac:dyDescent="0.25">
      <c r="A1195" s="5">
        <v>2881</v>
      </c>
      <c r="B1195" s="6">
        <v>4.95</v>
      </c>
      <c r="C1195" s="5" t="s">
        <v>1147</v>
      </c>
      <c r="D1195" s="6">
        <v>0.27500000000000002</v>
      </c>
      <c r="E1195"/>
    </row>
    <row r="1196" spans="1:5" x14ac:dyDescent="0.25">
      <c r="A1196" s="5">
        <v>2891</v>
      </c>
      <c r="B1196" s="6">
        <v>16</v>
      </c>
      <c r="C1196" s="5" t="s">
        <v>1148</v>
      </c>
      <c r="D1196" s="6"/>
      <c r="E1196"/>
    </row>
    <row r="1197" spans="1:5" x14ac:dyDescent="0.25">
      <c r="A1197" s="5">
        <v>2876</v>
      </c>
      <c r="B1197" s="6">
        <v>18</v>
      </c>
      <c r="C1197" s="5" t="s">
        <v>1149</v>
      </c>
      <c r="D1197" s="6"/>
      <c r="E1197"/>
    </row>
    <row r="1198" spans="1:5" x14ac:dyDescent="0.25">
      <c r="A1198" s="5">
        <v>2878</v>
      </c>
      <c r="B1198" s="6">
        <v>20</v>
      </c>
      <c r="C1198" s="5" t="s">
        <v>1150</v>
      </c>
      <c r="D1198" s="6"/>
      <c r="E1198"/>
    </row>
    <row r="1199" spans="1:5" x14ac:dyDescent="0.25">
      <c r="A1199" s="5">
        <v>2889</v>
      </c>
      <c r="B1199" s="6">
        <v>16</v>
      </c>
      <c r="C1199" s="5" t="s">
        <v>1151</v>
      </c>
      <c r="D1199" s="6"/>
      <c r="E1199"/>
    </row>
    <row r="1200" spans="1:5" x14ac:dyDescent="0.25">
      <c r="A1200" s="5">
        <v>2865</v>
      </c>
      <c r="B1200" s="6">
        <v>12</v>
      </c>
      <c r="C1200" s="5" t="s">
        <v>1152</v>
      </c>
      <c r="D1200" s="6">
        <v>1</v>
      </c>
      <c r="E1200"/>
    </row>
    <row r="1201" spans="1:5" x14ac:dyDescent="0.25">
      <c r="A1201" s="5">
        <v>2842</v>
      </c>
      <c r="B1201" s="6">
        <v>30</v>
      </c>
      <c r="C1201" s="5" t="s">
        <v>1153</v>
      </c>
      <c r="D1201" s="6"/>
      <c r="E1201"/>
    </row>
    <row r="1202" spans="1:5" x14ac:dyDescent="0.25">
      <c r="A1202" s="5">
        <v>2843</v>
      </c>
      <c r="B1202" s="6">
        <v>30</v>
      </c>
      <c r="C1202" s="5" t="s">
        <v>1154</v>
      </c>
      <c r="D1202" s="6"/>
      <c r="E1202"/>
    </row>
    <row r="1203" spans="1:5" x14ac:dyDescent="0.25">
      <c r="A1203" s="5">
        <v>2803</v>
      </c>
      <c r="B1203" s="6">
        <v>40</v>
      </c>
      <c r="C1203" s="5" t="s">
        <v>1155</v>
      </c>
      <c r="D1203" s="6"/>
      <c r="E1203"/>
    </row>
    <row r="1204" spans="1:5" x14ac:dyDescent="0.25">
      <c r="A1204" s="5">
        <v>2798</v>
      </c>
      <c r="B1204" s="6">
        <v>15</v>
      </c>
      <c r="C1204" s="5" t="s">
        <v>1156</v>
      </c>
      <c r="D1204" s="6">
        <v>1</v>
      </c>
      <c r="E1204"/>
    </row>
    <row r="1205" spans="1:5" x14ac:dyDescent="0.25">
      <c r="A1205" s="5">
        <v>2899</v>
      </c>
      <c r="B1205" s="6">
        <v>12</v>
      </c>
      <c r="C1205" s="5" t="s">
        <v>1157</v>
      </c>
      <c r="D1205" s="6"/>
      <c r="E1205"/>
    </row>
    <row r="1206" spans="1:5" x14ac:dyDescent="0.25">
      <c r="A1206" s="5">
        <v>2900</v>
      </c>
      <c r="B1206" s="6">
        <v>12</v>
      </c>
      <c r="C1206" s="5" t="s">
        <v>1158</v>
      </c>
      <c r="D1206" s="6"/>
      <c r="E1206"/>
    </row>
    <row r="1207" spans="1:5" x14ac:dyDescent="0.25">
      <c r="A1207" s="5">
        <v>2901</v>
      </c>
      <c r="B1207" s="6">
        <v>12</v>
      </c>
      <c r="C1207" s="5" t="s">
        <v>1159</v>
      </c>
      <c r="D1207" s="6"/>
      <c r="E1207"/>
    </row>
    <row r="1208" spans="1:5" x14ac:dyDescent="0.25">
      <c r="A1208" s="5">
        <v>2858</v>
      </c>
      <c r="B1208" s="6">
        <v>24</v>
      </c>
      <c r="C1208" s="5" t="s">
        <v>1160</v>
      </c>
      <c r="D1208" s="6"/>
      <c r="E1208"/>
    </row>
    <row r="1209" spans="1:5" x14ac:dyDescent="0.25">
      <c r="A1209" s="5">
        <v>2909</v>
      </c>
      <c r="B1209" s="6">
        <v>7.2</v>
      </c>
      <c r="C1209" s="5" t="s">
        <v>1161</v>
      </c>
      <c r="D1209" s="6">
        <v>1.2</v>
      </c>
      <c r="E1209"/>
    </row>
    <row r="1210" spans="1:5" x14ac:dyDescent="0.25">
      <c r="A1210" s="5">
        <v>2200</v>
      </c>
      <c r="B1210" s="6">
        <v>12</v>
      </c>
      <c r="C1210" s="5" t="s">
        <v>1162</v>
      </c>
      <c r="D1210" s="6">
        <v>1</v>
      </c>
      <c r="E1210"/>
    </row>
    <row r="1211" spans="1:5" x14ac:dyDescent="0.25">
      <c r="A1211" s="5">
        <v>2906</v>
      </c>
      <c r="B1211" s="6">
        <v>12</v>
      </c>
      <c r="C1211" s="5" t="s">
        <v>1163</v>
      </c>
      <c r="D1211" s="6">
        <v>1</v>
      </c>
      <c r="E1211"/>
    </row>
    <row r="1212" spans="1:5" x14ac:dyDescent="0.25">
      <c r="A1212" s="5">
        <v>2877</v>
      </c>
      <c r="B1212" s="6">
        <v>18</v>
      </c>
      <c r="C1212" s="5" t="s">
        <v>1164</v>
      </c>
      <c r="D1212" s="6"/>
      <c r="E1212"/>
    </row>
    <row r="1213" spans="1:5" x14ac:dyDescent="0.25">
      <c r="A1213" s="5">
        <v>2890</v>
      </c>
      <c r="B1213" s="6">
        <v>9.6</v>
      </c>
      <c r="C1213" s="5" t="s">
        <v>1165</v>
      </c>
      <c r="D1213" s="6">
        <v>0.8</v>
      </c>
      <c r="E1213"/>
    </row>
    <row r="1214" spans="1:5" x14ac:dyDescent="0.25">
      <c r="A1214" s="5">
        <v>2873</v>
      </c>
      <c r="B1214" s="6">
        <v>6</v>
      </c>
      <c r="C1214" s="5" t="s">
        <v>1166</v>
      </c>
      <c r="D1214" s="6"/>
      <c r="E1214"/>
    </row>
    <row r="1215" spans="1:5" x14ac:dyDescent="0.25">
      <c r="A1215" s="5">
        <v>2908</v>
      </c>
      <c r="B1215" s="6">
        <v>6</v>
      </c>
      <c r="C1215" s="5" t="s">
        <v>1167</v>
      </c>
      <c r="D1215" s="6"/>
      <c r="E1215"/>
    </row>
    <row r="1216" spans="1:5" x14ac:dyDescent="0.25">
      <c r="A1216" s="5">
        <v>2822</v>
      </c>
      <c r="B1216" s="6">
        <v>24</v>
      </c>
      <c r="C1216" s="5" t="s">
        <v>1168</v>
      </c>
      <c r="D1216" s="6">
        <v>1</v>
      </c>
      <c r="E1216"/>
    </row>
    <row r="1217" spans="1:5" x14ac:dyDescent="0.25">
      <c r="A1217" s="5">
        <v>2907</v>
      </c>
      <c r="B1217" s="6">
        <v>4.2</v>
      </c>
      <c r="C1217" s="5" t="s">
        <v>1169</v>
      </c>
      <c r="D1217" s="6">
        <f>4.2/12</f>
        <v>0.35000000000000003</v>
      </c>
      <c r="E1217"/>
    </row>
    <row r="1218" spans="1:5" x14ac:dyDescent="0.25">
      <c r="A1218" s="5">
        <v>2875</v>
      </c>
      <c r="B1218" s="6">
        <v>24</v>
      </c>
      <c r="C1218" s="5" t="s">
        <v>1170</v>
      </c>
      <c r="D1218" s="6">
        <v>1</v>
      </c>
      <c r="E1218"/>
    </row>
    <row r="1219" spans="1:5" x14ac:dyDescent="0.25">
      <c r="A1219" s="5">
        <v>2854</v>
      </c>
      <c r="B1219" s="6">
        <v>12</v>
      </c>
      <c r="C1219" s="5" t="s">
        <v>1171</v>
      </c>
      <c r="D1219" s="6"/>
      <c r="E1219"/>
    </row>
    <row r="1220" spans="1:5" x14ac:dyDescent="0.25">
      <c r="A1220" s="5">
        <v>2894</v>
      </c>
      <c r="B1220" s="6">
        <v>12</v>
      </c>
      <c r="C1220" s="5" t="s">
        <v>1172</v>
      </c>
      <c r="D1220" s="6">
        <v>1</v>
      </c>
      <c r="E1220"/>
    </row>
    <row r="1221" spans="1:5" x14ac:dyDescent="0.25">
      <c r="A1221" s="5">
        <v>2834</v>
      </c>
      <c r="B1221" s="6">
        <v>12</v>
      </c>
      <c r="C1221" s="5" t="s">
        <v>1173</v>
      </c>
      <c r="D1221" s="6">
        <v>1</v>
      </c>
      <c r="E1221"/>
    </row>
    <row r="1222" spans="1:5" x14ac:dyDescent="0.25">
      <c r="A1222" s="5">
        <v>2887</v>
      </c>
      <c r="B1222" s="6">
        <v>12</v>
      </c>
      <c r="C1222" s="5" t="s">
        <v>1174</v>
      </c>
      <c r="D1222" s="6">
        <v>1</v>
      </c>
      <c r="E1222"/>
    </row>
    <row r="1223" spans="1:5" x14ac:dyDescent="0.25">
      <c r="A1223" s="5">
        <v>2910</v>
      </c>
      <c r="B1223" s="6">
        <v>14.4</v>
      </c>
      <c r="C1223" s="5" t="s">
        <v>1175</v>
      </c>
      <c r="D1223" s="6">
        <v>1.8</v>
      </c>
      <c r="E1223"/>
    </row>
    <row r="1224" spans="1:5" x14ac:dyDescent="0.25">
      <c r="A1224" s="5">
        <v>2870</v>
      </c>
      <c r="B1224" s="6">
        <v>9.6</v>
      </c>
      <c r="C1224" s="5" t="s">
        <v>1176</v>
      </c>
      <c r="D1224" s="6">
        <v>1.2</v>
      </c>
      <c r="E1224"/>
    </row>
    <row r="1225" spans="1:5" x14ac:dyDescent="0.25">
      <c r="A1225" s="5">
        <v>2911</v>
      </c>
      <c r="B1225" s="6">
        <v>6</v>
      </c>
      <c r="C1225" s="5" t="s">
        <v>1177</v>
      </c>
      <c r="D1225" s="6">
        <f>6/24</f>
        <v>0.25</v>
      </c>
      <c r="E1225"/>
    </row>
    <row r="1226" spans="1:5" x14ac:dyDescent="0.25">
      <c r="A1226" s="5">
        <v>2912</v>
      </c>
      <c r="B1226" s="6">
        <v>6</v>
      </c>
      <c r="C1226" s="5" t="s">
        <v>1178</v>
      </c>
      <c r="D1226" s="6">
        <v>0.25</v>
      </c>
      <c r="E1226"/>
    </row>
    <row r="1227" spans="1:5" x14ac:dyDescent="0.25">
      <c r="A1227" s="5">
        <v>2904</v>
      </c>
      <c r="B1227" s="6">
        <v>12</v>
      </c>
      <c r="C1227" s="5" t="s">
        <v>1179</v>
      </c>
      <c r="D1227" s="6">
        <v>1</v>
      </c>
      <c r="E1227"/>
    </row>
    <row r="1228" spans="1:5" x14ac:dyDescent="0.25">
      <c r="A1228" s="5">
        <v>2829</v>
      </c>
      <c r="B1228" s="6">
        <v>24</v>
      </c>
      <c r="C1228" s="5" t="s">
        <v>1180</v>
      </c>
      <c r="D1228" s="6">
        <v>1</v>
      </c>
      <c r="E1228"/>
    </row>
    <row r="1229" spans="1:5" x14ac:dyDescent="0.25">
      <c r="A1229" s="5">
        <v>2893</v>
      </c>
      <c r="B1229" s="6">
        <v>12</v>
      </c>
      <c r="C1229" s="5" t="s">
        <v>1181</v>
      </c>
      <c r="D1229" s="6">
        <v>1</v>
      </c>
      <c r="E1229"/>
    </row>
    <row r="1230" spans="1:5" x14ac:dyDescent="0.25">
      <c r="A1230" s="5">
        <v>2836</v>
      </c>
      <c r="B1230" s="6">
        <v>12</v>
      </c>
      <c r="C1230" s="5" t="s">
        <v>1182</v>
      </c>
      <c r="D1230" s="6">
        <v>1</v>
      </c>
      <c r="E1230"/>
    </row>
    <row r="1231" spans="1:5" x14ac:dyDescent="0.25">
      <c r="A1231" s="5">
        <v>2832</v>
      </c>
      <c r="B1231" s="6">
        <v>24</v>
      </c>
      <c r="C1231" s="5" t="s">
        <v>1183</v>
      </c>
      <c r="D1231" s="6">
        <v>1</v>
      </c>
      <c r="E1231"/>
    </row>
    <row r="1232" spans="1:5" x14ac:dyDescent="0.25">
      <c r="A1232" s="5">
        <v>2892</v>
      </c>
      <c r="B1232" s="6">
        <v>12</v>
      </c>
      <c r="C1232" s="5" t="s">
        <v>1184</v>
      </c>
      <c r="D1232" s="6"/>
      <c r="E1232"/>
    </row>
    <row r="1233" spans="1:5" x14ac:dyDescent="0.25">
      <c r="A1233" s="5">
        <v>2872</v>
      </c>
      <c r="B1233" s="6">
        <v>8</v>
      </c>
      <c r="C1233" s="5" t="s">
        <v>1185</v>
      </c>
      <c r="D1233" s="6"/>
      <c r="E1233"/>
    </row>
    <row r="1234" spans="1:5" x14ac:dyDescent="0.25">
      <c r="A1234" s="5">
        <v>2885</v>
      </c>
      <c r="B1234" s="6">
        <v>15</v>
      </c>
      <c r="C1234" s="5" t="s">
        <v>1186</v>
      </c>
      <c r="D1234" s="6"/>
      <c r="E1234"/>
    </row>
    <row r="1235" spans="1:5" x14ac:dyDescent="0.25">
      <c r="A1235" s="5">
        <v>2888</v>
      </c>
      <c r="B1235" s="6">
        <v>17</v>
      </c>
      <c r="C1235" s="5" t="s">
        <v>1187</v>
      </c>
      <c r="D1235" s="6"/>
      <c r="E1235"/>
    </row>
    <row r="1236" spans="1:5" x14ac:dyDescent="0.25">
      <c r="A1236" s="5">
        <v>2721</v>
      </c>
      <c r="B1236" s="6">
        <v>50</v>
      </c>
      <c r="C1236" s="5" t="s">
        <v>1188</v>
      </c>
      <c r="D1236" s="6">
        <v>1</v>
      </c>
      <c r="E1236"/>
    </row>
    <row r="1237" spans="1:5" x14ac:dyDescent="0.25">
      <c r="A1237" s="5">
        <v>2916</v>
      </c>
      <c r="B1237" s="6">
        <v>6</v>
      </c>
      <c r="C1237" s="5" t="s">
        <v>1189</v>
      </c>
      <c r="D1237" s="6">
        <v>0.3</v>
      </c>
      <c r="E1237"/>
    </row>
    <row r="1238" spans="1:5" x14ac:dyDescent="0.25">
      <c r="A1238" s="5">
        <v>2926</v>
      </c>
      <c r="B1238" s="6">
        <v>16</v>
      </c>
      <c r="C1238" s="5" t="s">
        <v>1190</v>
      </c>
      <c r="D1238" s="6"/>
      <c r="E1238"/>
    </row>
    <row r="1239" spans="1:5" x14ac:dyDescent="0.25">
      <c r="A1239" s="5">
        <v>2918</v>
      </c>
      <c r="B1239" s="6">
        <v>12</v>
      </c>
      <c r="C1239" s="5" t="s">
        <v>1191</v>
      </c>
      <c r="D1239" s="6">
        <v>1.5</v>
      </c>
      <c r="E1239"/>
    </row>
    <row r="1240" spans="1:5" x14ac:dyDescent="0.25">
      <c r="A1240" s="5">
        <v>2917</v>
      </c>
      <c r="B1240" s="6">
        <v>12</v>
      </c>
      <c r="C1240" s="5" t="s">
        <v>1192</v>
      </c>
      <c r="D1240" s="6">
        <v>2</v>
      </c>
      <c r="E1240"/>
    </row>
    <row r="1241" spans="1:5" x14ac:dyDescent="0.25">
      <c r="A1241" s="5">
        <v>2919</v>
      </c>
      <c r="B1241" s="6">
        <v>12</v>
      </c>
      <c r="C1241" s="5" t="s">
        <v>1193</v>
      </c>
      <c r="D1241" s="6">
        <v>2</v>
      </c>
      <c r="E1241"/>
    </row>
    <row r="1242" spans="1:5" x14ac:dyDescent="0.25">
      <c r="A1242" s="5">
        <v>2802</v>
      </c>
      <c r="B1242" s="6">
        <v>18</v>
      </c>
      <c r="C1242" s="5" t="s">
        <v>1194</v>
      </c>
      <c r="D1242" s="6">
        <v>0.6</v>
      </c>
      <c r="E1242"/>
    </row>
    <row r="1243" spans="1:5" x14ac:dyDescent="0.25">
      <c r="A1243" s="5">
        <v>2927</v>
      </c>
      <c r="B1243" s="6">
        <v>16</v>
      </c>
      <c r="C1243" s="5" t="s">
        <v>1195</v>
      </c>
      <c r="D1243" s="6"/>
      <c r="E1243"/>
    </row>
    <row r="1244" spans="1:5" x14ac:dyDescent="0.25">
      <c r="A1244" s="5">
        <v>2928</v>
      </c>
      <c r="B1244" s="6">
        <v>9.6</v>
      </c>
      <c r="C1244" s="5" t="s">
        <v>1196</v>
      </c>
      <c r="D1244" s="6">
        <v>0.8</v>
      </c>
      <c r="E1244"/>
    </row>
    <row r="1245" spans="1:5" x14ac:dyDescent="0.25">
      <c r="A1245" s="5">
        <v>2925</v>
      </c>
      <c r="B1245" s="6">
        <v>12</v>
      </c>
      <c r="C1245" s="5" t="s">
        <v>1197</v>
      </c>
      <c r="D1245" s="6">
        <v>2</v>
      </c>
      <c r="E1245"/>
    </row>
    <row r="1246" spans="1:5" x14ac:dyDescent="0.25">
      <c r="A1246" s="5">
        <v>2929</v>
      </c>
      <c r="B1246" s="6">
        <v>6</v>
      </c>
      <c r="C1246" s="5" t="s">
        <v>1198</v>
      </c>
      <c r="D1246" s="6">
        <v>0.5</v>
      </c>
      <c r="E1246"/>
    </row>
    <row r="1247" spans="1:5" x14ac:dyDescent="0.25">
      <c r="A1247" s="5">
        <v>2924</v>
      </c>
      <c r="B1247" s="6">
        <v>4.8</v>
      </c>
      <c r="C1247" s="5" t="s">
        <v>1199</v>
      </c>
      <c r="D1247" s="6">
        <v>0.2</v>
      </c>
      <c r="E1247"/>
    </row>
    <row r="1248" spans="1:5" x14ac:dyDescent="0.25">
      <c r="A1248" s="5">
        <v>2920</v>
      </c>
      <c r="B1248" s="6">
        <v>6</v>
      </c>
      <c r="C1248" s="5" t="s">
        <v>1200</v>
      </c>
      <c r="D1248" s="6">
        <v>0.3</v>
      </c>
      <c r="E1248"/>
    </row>
    <row r="1249" spans="1:5" x14ac:dyDescent="0.25">
      <c r="A1249" s="5">
        <v>2915</v>
      </c>
      <c r="B1249" s="6">
        <v>6</v>
      </c>
      <c r="C1249" s="5" t="s">
        <v>1201</v>
      </c>
      <c r="D1249" s="6">
        <v>0.3</v>
      </c>
      <c r="E1249"/>
    </row>
    <row r="1250" spans="1:5" x14ac:dyDescent="0.25">
      <c r="A1250" s="5">
        <v>2930</v>
      </c>
      <c r="B1250" s="6">
        <v>20</v>
      </c>
      <c r="C1250" s="5" t="s">
        <v>1202</v>
      </c>
      <c r="D1250" s="6"/>
      <c r="E1250"/>
    </row>
    <row r="1251" spans="1:5" x14ac:dyDescent="0.25">
      <c r="A1251" s="5">
        <v>2935</v>
      </c>
      <c r="B1251" s="6">
        <v>24</v>
      </c>
      <c r="C1251" s="5" t="s">
        <v>1203</v>
      </c>
      <c r="D1251" s="6"/>
      <c r="E1251"/>
    </row>
    <row r="1252" spans="1:5" x14ac:dyDescent="0.25">
      <c r="A1252" s="5">
        <v>2857</v>
      </c>
      <c r="B1252" s="6">
        <v>24</v>
      </c>
      <c r="C1252" s="5" t="s">
        <v>1204</v>
      </c>
      <c r="D1252" s="6"/>
      <c r="E1252"/>
    </row>
    <row r="1253" spans="1:5" x14ac:dyDescent="0.25">
      <c r="A1253" s="5">
        <v>2932</v>
      </c>
      <c r="B1253" s="6">
        <v>25</v>
      </c>
      <c r="C1253" s="5" t="s">
        <v>1205</v>
      </c>
      <c r="D1253" s="6">
        <v>1</v>
      </c>
      <c r="E1253"/>
    </row>
    <row r="1254" spans="1:5" x14ac:dyDescent="0.25">
      <c r="A1254" s="5">
        <v>2937</v>
      </c>
      <c r="B1254" s="6">
        <v>12</v>
      </c>
      <c r="C1254" s="5" t="s">
        <v>1206</v>
      </c>
      <c r="D1254" s="6">
        <v>1</v>
      </c>
      <c r="E1254"/>
    </row>
    <row r="1255" spans="1:5" x14ac:dyDescent="0.25">
      <c r="A1255" s="5">
        <v>2895</v>
      </c>
      <c r="B1255" s="6">
        <v>10.8</v>
      </c>
      <c r="C1255" s="5" t="s">
        <v>1207</v>
      </c>
      <c r="D1255" s="6">
        <v>1.8</v>
      </c>
      <c r="E1255"/>
    </row>
    <row r="1256" spans="1:5" x14ac:dyDescent="0.25">
      <c r="A1256" s="5">
        <v>2788</v>
      </c>
      <c r="B1256" s="6">
        <v>96</v>
      </c>
      <c r="C1256" s="5" t="s">
        <v>1208</v>
      </c>
      <c r="D1256" s="6"/>
      <c r="E1256"/>
    </row>
    <row r="1257" spans="1:5" x14ac:dyDescent="0.25">
      <c r="A1257" s="5">
        <v>2943</v>
      </c>
      <c r="B1257" s="6">
        <v>20</v>
      </c>
      <c r="C1257" s="5" t="s">
        <v>1209</v>
      </c>
      <c r="D1257" s="6"/>
      <c r="E1257"/>
    </row>
    <row r="1258" spans="1:5" x14ac:dyDescent="0.25">
      <c r="A1258" s="5">
        <v>2941</v>
      </c>
      <c r="B1258" s="6">
        <v>20</v>
      </c>
      <c r="C1258" s="5" t="s">
        <v>1210</v>
      </c>
      <c r="D1258" s="6"/>
      <c r="E1258"/>
    </row>
    <row r="1259" spans="1:5" x14ac:dyDescent="0.25">
      <c r="A1259" s="5">
        <v>2945</v>
      </c>
      <c r="B1259" s="6">
        <v>16</v>
      </c>
      <c r="C1259" s="5" t="s">
        <v>1211</v>
      </c>
      <c r="D1259" s="6"/>
      <c r="E1259"/>
    </row>
    <row r="1260" spans="1:5" x14ac:dyDescent="0.25">
      <c r="A1260" s="5">
        <v>2936</v>
      </c>
      <c r="B1260" s="6">
        <v>24</v>
      </c>
      <c r="C1260" s="5" t="s">
        <v>1212</v>
      </c>
      <c r="D1260" s="6">
        <v>1</v>
      </c>
      <c r="E1260"/>
    </row>
    <row r="1261" spans="1:5" x14ac:dyDescent="0.25">
      <c r="A1261" s="5">
        <v>2944</v>
      </c>
      <c r="B1261" s="6">
        <v>20</v>
      </c>
      <c r="C1261" s="5" t="s">
        <v>1213</v>
      </c>
      <c r="D1261" s="6"/>
      <c r="E1261"/>
    </row>
    <row r="1262" spans="1:5" x14ac:dyDescent="0.25">
      <c r="A1262" s="5">
        <v>2952</v>
      </c>
      <c r="B1262" s="6">
        <v>11.2</v>
      </c>
      <c r="C1262" s="5" t="s">
        <v>1214</v>
      </c>
      <c r="D1262" s="6">
        <v>0.7</v>
      </c>
      <c r="E1262"/>
    </row>
    <row r="1263" spans="1:5" x14ac:dyDescent="0.25">
      <c r="A1263" s="5">
        <v>2886</v>
      </c>
      <c r="B1263" s="6">
        <v>6.6</v>
      </c>
      <c r="C1263" s="5" t="s">
        <v>1215</v>
      </c>
      <c r="D1263" s="6">
        <v>1.1000000000000001</v>
      </c>
      <c r="E1263"/>
    </row>
    <row r="1264" spans="1:5" x14ac:dyDescent="0.25">
      <c r="A1264" s="5">
        <v>2978</v>
      </c>
      <c r="B1264" s="6">
        <v>6</v>
      </c>
      <c r="C1264" s="5" t="s">
        <v>1216</v>
      </c>
      <c r="D1264" s="6"/>
      <c r="E1264"/>
    </row>
    <row r="1265" spans="1:5" x14ac:dyDescent="0.25">
      <c r="A1265" s="5">
        <v>2956</v>
      </c>
      <c r="B1265" s="6">
        <v>4.2</v>
      </c>
      <c r="C1265" s="5" t="s">
        <v>1217</v>
      </c>
      <c r="D1265" s="6">
        <v>0.3</v>
      </c>
      <c r="E1265"/>
    </row>
    <row r="1266" spans="1:5" x14ac:dyDescent="0.25">
      <c r="A1266" s="5">
        <v>2942</v>
      </c>
      <c r="B1266" s="6">
        <v>20</v>
      </c>
      <c r="C1266" s="5" t="s">
        <v>1218</v>
      </c>
      <c r="D1266" s="6"/>
      <c r="E1266"/>
    </row>
    <row r="1267" spans="1:5" x14ac:dyDescent="0.25">
      <c r="A1267" s="5">
        <v>2934</v>
      </c>
      <c r="B1267" s="6">
        <v>24</v>
      </c>
      <c r="C1267" s="5" t="s">
        <v>1219</v>
      </c>
      <c r="D1267" s="6"/>
      <c r="E1267"/>
    </row>
    <row r="1268" spans="1:5" x14ac:dyDescent="0.25">
      <c r="A1268" s="5">
        <v>2940</v>
      </c>
      <c r="B1268" s="6">
        <v>15</v>
      </c>
      <c r="C1268" s="5" t="s">
        <v>1220</v>
      </c>
      <c r="D1268" s="6">
        <v>2.5</v>
      </c>
      <c r="E1268"/>
    </row>
    <row r="1269" spans="1:5" x14ac:dyDescent="0.25">
      <c r="A1269" s="5">
        <v>2949</v>
      </c>
      <c r="B1269" s="6">
        <v>10</v>
      </c>
      <c r="C1269" s="5" t="s">
        <v>1221</v>
      </c>
      <c r="D1269" s="6">
        <v>1</v>
      </c>
      <c r="E1269"/>
    </row>
    <row r="1270" spans="1:5" x14ac:dyDescent="0.25">
      <c r="A1270" s="5">
        <v>2982</v>
      </c>
      <c r="B1270" s="6">
        <v>12</v>
      </c>
      <c r="C1270" s="5" t="s">
        <v>1222</v>
      </c>
      <c r="D1270" s="6"/>
      <c r="E1270"/>
    </row>
    <row r="1271" spans="1:5" x14ac:dyDescent="0.25">
      <c r="A1271" s="5">
        <v>2869</v>
      </c>
      <c r="B1271" s="6">
        <v>14.4</v>
      </c>
      <c r="C1271" s="5" t="s">
        <v>1223</v>
      </c>
      <c r="D1271" s="6">
        <v>1.8</v>
      </c>
      <c r="E1271"/>
    </row>
    <row r="1272" spans="1:5" x14ac:dyDescent="0.25">
      <c r="A1272" s="5">
        <v>2980</v>
      </c>
      <c r="B1272" s="6">
        <v>4.8</v>
      </c>
      <c r="C1272" s="5" t="s">
        <v>1224</v>
      </c>
      <c r="D1272" s="6">
        <v>0.2</v>
      </c>
      <c r="E1272"/>
    </row>
    <row r="1273" spans="1:5" x14ac:dyDescent="0.25">
      <c r="A1273" s="5">
        <v>2981</v>
      </c>
      <c r="B1273" s="6">
        <v>12</v>
      </c>
      <c r="C1273" s="5" t="s">
        <v>1225</v>
      </c>
      <c r="D1273" s="6"/>
      <c r="E1273"/>
    </row>
    <row r="1274" spans="1:5" x14ac:dyDescent="0.25">
      <c r="A1274" s="5">
        <v>2983</v>
      </c>
      <c r="B1274" s="6">
        <v>8</v>
      </c>
      <c r="C1274" s="5" t="s">
        <v>1226</v>
      </c>
      <c r="D1274" s="6"/>
      <c r="E1274"/>
    </row>
    <row r="1275" spans="1:5" x14ac:dyDescent="0.25">
      <c r="A1275" s="5">
        <v>2946</v>
      </c>
      <c r="B1275" s="6">
        <v>2.52</v>
      </c>
      <c r="C1275" s="5" t="s">
        <v>1227</v>
      </c>
      <c r="D1275" s="6"/>
      <c r="E1275"/>
    </row>
    <row r="1276" spans="1:5" x14ac:dyDescent="0.25">
      <c r="A1276" s="5">
        <v>2979</v>
      </c>
      <c r="B1276" s="6">
        <v>24</v>
      </c>
      <c r="C1276" s="5" t="s">
        <v>1228</v>
      </c>
      <c r="D1276" s="6">
        <v>6</v>
      </c>
      <c r="E1276"/>
    </row>
    <row r="1277" spans="1:5" x14ac:dyDescent="0.25">
      <c r="A1277" s="5">
        <v>2990</v>
      </c>
      <c r="B1277" s="6">
        <v>20</v>
      </c>
      <c r="C1277" s="5" t="s">
        <v>1229</v>
      </c>
      <c r="D1277" s="6"/>
      <c r="E1277"/>
    </row>
    <row r="1278" spans="1:5" x14ac:dyDescent="0.25">
      <c r="A1278" s="5">
        <v>2971</v>
      </c>
      <c r="B1278" s="6">
        <v>9.6</v>
      </c>
      <c r="C1278" s="5" t="s">
        <v>1230</v>
      </c>
      <c r="D1278" s="6">
        <v>0.8</v>
      </c>
      <c r="E1278"/>
    </row>
    <row r="1279" spans="1:5" x14ac:dyDescent="0.25">
      <c r="A1279" s="5">
        <v>2972</v>
      </c>
      <c r="B1279" s="6">
        <v>6</v>
      </c>
      <c r="C1279" s="5" t="s">
        <v>1231</v>
      </c>
      <c r="D1279" s="6">
        <v>1.5</v>
      </c>
      <c r="E1279"/>
    </row>
    <row r="1280" spans="1:5" x14ac:dyDescent="0.25">
      <c r="A1280" s="5">
        <v>2977</v>
      </c>
      <c r="B1280" s="6">
        <v>18</v>
      </c>
      <c r="C1280" s="5" t="s">
        <v>1232</v>
      </c>
      <c r="D1280" s="6"/>
      <c r="E1280"/>
    </row>
    <row r="1281" spans="1:5" x14ac:dyDescent="0.25">
      <c r="A1281" s="5">
        <v>2968</v>
      </c>
      <c r="B1281" s="6">
        <v>6</v>
      </c>
      <c r="C1281" s="5" t="s">
        <v>1233</v>
      </c>
      <c r="D1281" s="6">
        <v>0.5</v>
      </c>
      <c r="E1281"/>
    </row>
    <row r="1282" spans="1:5" x14ac:dyDescent="0.25">
      <c r="A1282" s="5">
        <v>2933</v>
      </c>
      <c r="B1282" s="6">
        <v>10</v>
      </c>
      <c r="C1282" s="5" t="s">
        <v>1234</v>
      </c>
      <c r="D1282" s="6">
        <v>1</v>
      </c>
      <c r="E1282"/>
    </row>
    <row r="1283" spans="1:5" x14ac:dyDescent="0.25">
      <c r="A1283" s="5">
        <v>2975</v>
      </c>
      <c r="B1283" s="6">
        <v>1.8</v>
      </c>
      <c r="C1283" s="5" t="s">
        <v>1235</v>
      </c>
      <c r="D1283" s="6">
        <v>0.2</v>
      </c>
      <c r="E1283"/>
    </row>
    <row r="1284" spans="1:5" x14ac:dyDescent="0.25">
      <c r="A1284" s="5">
        <v>2987</v>
      </c>
      <c r="B1284" s="6">
        <v>6</v>
      </c>
      <c r="C1284" s="5" t="s">
        <v>1236</v>
      </c>
      <c r="D1284" s="6">
        <v>0.5</v>
      </c>
      <c r="E1284"/>
    </row>
    <row r="1285" spans="1:5" x14ac:dyDescent="0.25">
      <c r="A1285" s="5">
        <v>2985</v>
      </c>
      <c r="B1285" s="6">
        <v>14.4</v>
      </c>
      <c r="C1285" s="5" t="s">
        <v>1237</v>
      </c>
      <c r="D1285" s="6">
        <v>1.8</v>
      </c>
      <c r="E1285"/>
    </row>
    <row r="1286" spans="1:5" x14ac:dyDescent="0.25">
      <c r="A1286" s="5">
        <v>2902</v>
      </c>
      <c r="B1286" s="6">
        <v>12</v>
      </c>
      <c r="C1286" s="5" t="s">
        <v>1238</v>
      </c>
      <c r="D1286" s="6"/>
      <c r="E1286"/>
    </row>
    <row r="1287" spans="1:5" x14ac:dyDescent="0.25">
      <c r="A1287" s="5">
        <v>2903</v>
      </c>
      <c r="B1287" s="6">
        <v>12</v>
      </c>
      <c r="C1287" s="5" t="s">
        <v>1239</v>
      </c>
      <c r="D1287" s="6"/>
      <c r="E1287"/>
    </row>
    <row r="1288" spans="1:5" x14ac:dyDescent="0.25">
      <c r="A1288" s="5">
        <v>2905</v>
      </c>
      <c r="B1288" s="6">
        <v>12</v>
      </c>
      <c r="C1288" s="5" t="s">
        <v>1240</v>
      </c>
      <c r="D1288" s="6"/>
      <c r="E1288"/>
    </row>
    <row r="1289" spans="1:5" x14ac:dyDescent="0.25">
      <c r="A1289" s="5">
        <v>2988</v>
      </c>
      <c r="B1289" s="6">
        <v>6</v>
      </c>
      <c r="C1289" s="5" t="s">
        <v>1241</v>
      </c>
      <c r="D1289" s="6">
        <v>0.5</v>
      </c>
      <c r="E1289"/>
    </row>
    <row r="1290" spans="1:5" x14ac:dyDescent="0.25">
      <c r="A1290" s="5">
        <v>2989</v>
      </c>
      <c r="B1290" s="6">
        <v>3</v>
      </c>
      <c r="C1290" s="5" t="s">
        <v>1242</v>
      </c>
      <c r="D1290" s="6">
        <v>0.25</v>
      </c>
      <c r="E1290"/>
    </row>
    <row r="1291" spans="1:5" x14ac:dyDescent="0.25">
      <c r="A1291" s="5">
        <v>2966</v>
      </c>
      <c r="B1291" s="6">
        <v>4.9000000000000004</v>
      </c>
      <c r="C1291" s="5" t="s">
        <v>1243</v>
      </c>
      <c r="D1291" s="6">
        <v>0.35</v>
      </c>
      <c r="E1291"/>
    </row>
    <row r="1292" spans="1:5" x14ac:dyDescent="0.25">
      <c r="A1292" s="5">
        <v>2967</v>
      </c>
      <c r="B1292" s="6">
        <v>3.6</v>
      </c>
      <c r="C1292" s="5" t="s">
        <v>1244</v>
      </c>
      <c r="D1292" s="6">
        <v>0.3</v>
      </c>
      <c r="E1292"/>
    </row>
    <row r="1293" spans="1:5" x14ac:dyDescent="0.25">
      <c r="A1293" s="5">
        <v>2963</v>
      </c>
      <c r="B1293" s="6">
        <v>20</v>
      </c>
      <c r="C1293" s="5" t="s">
        <v>1245</v>
      </c>
      <c r="D1293" s="6"/>
      <c r="E1293"/>
    </row>
    <row r="1294" spans="1:5" x14ac:dyDescent="0.25">
      <c r="A1294" s="5">
        <v>2986</v>
      </c>
      <c r="B1294" s="6">
        <v>3</v>
      </c>
      <c r="C1294" s="5" t="s">
        <v>1246</v>
      </c>
      <c r="D1294" s="6">
        <v>0.25</v>
      </c>
      <c r="E1294"/>
    </row>
    <row r="1295" spans="1:5" x14ac:dyDescent="0.25">
      <c r="A1295" s="5">
        <v>2964</v>
      </c>
      <c r="B1295" s="6">
        <v>6</v>
      </c>
      <c r="C1295" s="5" t="s">
        <v>1247</v>
      </c>
      <c r="D1295" s="6">
        <v>0.5</v>
      </c>
      <c r="E1295"/>
    </row>
    <row r="1296" spans="1:5" x14ac:dyDescent="0.25">
      <c r="A1296" s="5">
        <v>2965</v>
      </c>
      <c r="B1296" s="6">
        <v>4.8</v>
      </c>
      <c r="C1296" s="5" t="s">
        <v>1248</v>
      </c>
      <c r="D1296" s="6">
        <v>0.4</v>
      </c>
      <c r="E1296"/>
    </row>
    <row r="1297" spans="1:5" x14ac:dyDescent="0.25">
      <c r="A1297" s="5">
        <v>2999</v>
      </c>
      <c r="B1297" s="6">
        <v>4.8</v>
      </c>
      <c r="C1297" s="5" t="s">
        <v>1249</v>
      </c>
      <c r="D1297" s="6">
        <v>0.2</v>
      </c>
      <c r="E129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CAMARGUS PC02</dc:creator>
  <cp:lastModifiedBy>CAMARGUS PC02</cp:lastModifiedBy>
  <dcterms:created xsi:type="dcterms:W3CDTF">2026-08-04T22:56:29Z</dcterms:created>
  <dcterms:modified xsi:type="dcterms:W3CDTF">2026-08-04T22:58:41Z</dcterms:modified>
</cp:coreProperties>
</file>